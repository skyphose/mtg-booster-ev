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et Summary" sheetId="2" state="visible" r:id="rId4"/>
    <sheet name="God Pack" sheetId="3" state="visible" r:id="rId5"/>
    <sheet name="Foil Change" sheetId="4" state="visible" r:id="rId6"/>
    <sheet name="Store Economics" sheetId="5" state="visible" r:id="rId7"/>
    <sheet name="Chase Cards" sheetId="6" state="visible" r:id="rId8"/>
    <sheet name="Sources" sheetId="7" state="visible" r:id="rId9"/>
    <sheet name="Selling Tim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Arial"/>
            <family val="2"/>
          </rPr>
          <t xml:space="preserve">Foil tower land average from the Collector sheet is ~$0.9; adjust if the Nauctis land is more desirable.</t>
        </r>
      </text>
    </comment>
    <comment ref="B16" authorId="0">
      <text>
        <r>
          <rPr>
            <sz val="10"/>
            <rFont val="Arial"/>
            <family val="2"/>
          </rPr>
          <t xml:space="preserve">Wizards has not described the celebration card. $0 is conservative; try $10-25 for a promo-style card.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Expected counts from the EV model (Reality Fracture Play Booster sheets x 30 packs).</t>
        </r>
      </text>
    </comment>
    <comment ref="B10" authorId="0">
      <text>
        <r>
          <rPr>
            <sz val="10"/>
            <rFont val="Arial"/>
            <family val="2"/>
          </rPr>
          <t xml:space="preserve">Assumption. No public per-card sell-through data; 60% in 90 days at market is a middle-of-the-road guess for in-print cards. Change it.</t>
        </r>
      </text>
    </comment>
  </commentList>
</comments>
</file>

<file path=xl/sharedStrings.xml><?xml version="1.0" encoding="utf-8"?>
<sst xmlns="http://schemas.openxmlformats.org/spreadsheetml/2006/main" count="1017" uniqueCount="649">
  <si>
    <t xml:space="preserve">MTG Booster EV model - 2016-2026 + the 2027 god pack / foil changes</t>
  </si>
  <si>
    <t xml:space="preserve">Built 2026-10-05. Prices: TCGplayer market via Scryfall bulk data (default-cards, 2026-10-05). Box prices: median of the 5 most recent COMPLETED TCGplayer sales per product (not listings, not "market price").</t>
  </si>
  <si>
    <t xml:space="preserve">Pack structure: official Wizards "Collecting &lt;set&gt;" odds as encoded by mtg.wtf / taw/magic-sealed-data (card-level sheet weights).</t>
  </si>
  <si>
    <t xml:space="preserve">EV per pack = sum over slots of (expected cards from sheet) x (weighted average price of the sheet). Box EV = EV per pack x packs per box. 4,000 Monte Carlo boxes per product give the spread and P(box beats price).</t>
  </si>
  <si>
    <t xml:space="preserve">"Cash-out value" = what you net if you sell everything: cards under $1 = $0, $1-5 cards at 50% of market, $5+ at 70%. Change these levers on the Set Summary sheet (yellow cells) - the ratios recompute.</t>
  </si>
  <si>
    <t xml:space="preserve">Store Economics sheet uses figures from one independent store's launch order, rounded UP to the nearest $10 and with no distributor or store named. Do not reverse-engineer.</t>
  </si>
  <si>
    <t xml:space="preserve">Blue text = hardcoded input you can change. Black = formula. Yellow fill = key assumption.</t>
  </si>
  <si>
    <t xml:space="preserve">Caveats: (1) EV uses TODAY's prices, not at-release prices; new-set singles typically fall 30%+ in the first 3 months (MTGStocks, Aetherdrift check-in May 2025). (2) Older boxes (2016-2019) are priced today as aged sealed, so their EV/price ratio reflects the sealed premium, not launch economics. (3) God pack values assume Reality Fracture averages, 3 days post-release (generous); the celebration card is valued at $0. (4) Wizards has not published the new foil rare/mythic rate - see Foil Change sheet for the break-even.</t>
  </si>
  <si>
    <t xml:space="preserve">Cash-out levers (edit):</t>
  </si>
  <si>
    <t xml:space="preserve">cards below this are bulk ($)</t>
  </si>
  <si>
    <t xml:space="preserve">Note: the realizable column below was simulated with these default levers; changing them here only re-scales the summary ratio in column P via the ratio lever.</t>
  </si>
  <si>
    <t xml:space="preserve">share kept on $1-5 cards</t>
  </si>
  <si>
    <t xml:space="preserve">share kept on $5+ cards</t>
  </si>
  <si>
    <t xml:space="preserve">Set</t>
  </si>
  <si>
    <t xml:space="preserve">Product</t>
  </si>
  <si>
    <t xml:space="preserve">Year</t>
  </si>
  <si>
    <t xml:space="preserve">Box type</t>
  </si>
  <si>
    <t xml:space="preserve">Packs/box</t>
  </si>
  <si>
    <t xml:space="preserve">EV per pack ($, market)</t>
  </si>
  <si>
    <t xml:space="preserve">EV per box ($, market)</t>
  </si>
  <si>
    <t xml:space="preserve">Cash-out per box ($)</t>
  </si>
  <si>
    <t xml:space="preserve">Box price: median of recent sales ($)</t>
  </si>
  <si>
    <t xml:space="preserve">Recent sales min</t>
  </si>
  <si>
    <t xml:space="preserve">Recent sales max</t>
  </si>
  <si>
    <t xml:space="preserve">TCGplayer market price ($)</t>
  </si>
  <si>
    <t xml:space="preserve">MSRP per box ($)</t>
  </si>
  <si>
    <t xml:space="preserve">EV / box price</t>
  </si>
  <si>
    <t xml:space="preserve">Cash-out / box price</t>
  </si>
  <si>
    <t xml:space="preserve">EV / MSRP</t>
  </si>
  <si>
    <t xml:space="preserve">P(box beats price) market</t>
  </si>
  <si>
    <t xml:space="preserve">P(box beats price) cash-out</t>
  </si>
  <si>
    <t xml:space="preserve">Box P10</t>
  </si>
  <si>
    <t xml:space="preserve">Box median</t>
  </si>
  <si>
    <t xml:space="preserve">Box P90</t>
  </si>
  <si>
    <t xml:space="preserve">Price coverage (share of sheet weight with a listed price)</t>
  </si>
  <si>
    <t xml:space="preserve">TCGplayer product used</t>
  </si>
  <si>
    <t xml:space="preserve">Shadows over Innistrad</t>
  </si>
  <si>
    <t xml:space="preserve">soi-draft</t>
  </si>
  <si>
    <t xml:space="preserve">draft</t>
  </si>
  <si>
    <t xml:space="preserve">Eldritch Moon</t>
  </si>
  <si>
    <t xml:space="preserve">emn-draft</t>
  </si>
  <si>
    <t xml:space="preserve">Kaladesh</t>
  </si>
  <si>
    <t xml:space="preserve">kld-draft</t>
  </si>
  <si>
    <t xml:space="preserve">Kaladesh - Booster Box</t>
  </si>
  <si>
    <t xml:space="preserve">Aether Revolt</t>
  </si>
  <si>
    <t xml:space="preserve">aer-draft</t>
  </si>
  <si>
    <t xml:space="preserve">Aether Revolt - Booster Box</t>
  </si>
  <si>
    <t xml:space="preserve">Amonkhet</t>
  </si>
  <si>
    <t xml:space="preserve">akh-draft</t>
  </si>
  <si>
    <t xml:space="preserve">Amonkhet - Booster Box</t>
  </si>
  <si>
    <t xml:space="preserve">Hour of Devastation</t>
  </si>
  <si>
    <t xml:space="preserve">hou-draft</t>
  </si>
  <si>
    <t xml:space="preserve">Hour of Devastation - Booster Box</t>
  </si>
  <si>
    <t xml:space="preserve">Ixalan</t>
  </si>
  <si>
    <t xml:space="preserve">xln-draft</t>
  </si>
  <si>
    <t xml:space="preserve">Ixalan - Booster Box</t>
  </si>
  <si>
    <t xml:space="preserve">Rivals of Ixalan</t>
  </si>
  <si>
    <t xml:space="preserve">rix-draft</t>
  </si>
  <si>
    <t xml:space="preserve">Rivals of Ixalan - Booster Box</t>
  </si>
  <si>
    <t xml:space="preserve">Dominaria</t>
  </si>
  <si>
    <t xml:space="preserve">dom-draft</t>
  </si>
  <si>
    <t xml:space="preserve">Dominaria - Booster Box</t>
  </si>
  <si>
    <t xml:space="preserve">Core Set 2019</t>
  </si>
  <si>
    <t xml:space="preserve">m19-draft</t>
  </si>
  <si>
    <t xml:space="preserve">Core Set 2019 - Booster Box</t>
  </si>
  <si>
    <t xml:space="preserve">Guilds of Ravnica</t>
  </si>
  <si>
    <t xml:space="preserve">grn-draft</t>
  </si>
  <si>
    <t xml:space="preserve">Guilds of Ravnica - Booster Box</t>
  </si>
  <si>
    <t xml:space="preserve">Ravnica Allegiance</t>
  </si>
  <si>
    <t xml:space="preserve">rna-draft</t>
  </si>
  <si>
    <t xml:space="preserve">Ravnica Allegiance - Booster Box</t>
  </si>
  <si>
    <t xml:space="preserve">War of the Spark</t>
  </si>
  <si>
    <t xml:space="preserve">war-draft</t>
  </si>
  <si>
    <t xml:space="preserve">War of the Spark - Booster Box</t>
  </si>
  <si>
    <t xml:space="preserve">Core Set 2020</t>
  </si>
  <si>
    <t xml:space="preserve">m20-draft</t>
  </si>
  <si>
    <t xml:space="preserve">Core Set 2020 - Booster Box</t>
  </si>
  <si>
    <t xml:space="preserve">Throne of Eldraine</t>
  </si>
  <si>
    <t xml:space="preserve">eld-draft</t>
  </si>
  <si>
    <t xml:space="preserve">Throne of Eldraine - Booster Box</t>
  </si>
  <si>
    <t xml:space="preserve">eld-collector</t>
  </si>
  <si>
    <t xml:space="preserve">collector</t>
  </si>
  <si>
    <t xml:space="preserve">Theros Beyond Death</t>
  </si>
  <si>
    <t xml:space="preserve">thb-draft</t>
  </si>
  <si>
    <t xml:space="preserve">Theros Beyond Death - Booster Box</t>
  </si>
  <si>
    <t xml:space="preserve">thb-collector</t>
  </si>
  <si>
    <t xml:space="preserve">Ikoria</t>
  </si>
  <si>
    <t xml:space="preserve">iko-draft</t>
  </si>
  <si>
    <t xml:space="preserve">Ikoria: Lair of Behemoths - Booster Box</t>
  </si>
  <si>
    <t xml:space="preserve">iko-collector</t>
  </si>
  <si>
    <t xml:space="preserve">Ikoria: Lair of Behemoths - Collector Booster Display</t>
  </si>
  <si>
    <t xml:space="preserve">Core Set 2021</t>
  </si>
  <si>
    <t xml:space="preserve">m21-draft</t>
  </si>
  <si>
    <t xml:space="preserve">Core Set 2021 - Booster Box</t>
  </si>
  <si>
    <t xml:space="preserve">m21-collector</t>
  </si>
  <si>
    <t xml:space="preserve">Core Set 2021 - Collector Booster Display</t>
  </si>
  <si>
    <t xml:space="preserve">Zendikar Rising</t>
  </si>
  <si>
    <t xml:space="preserve">znr-draft</t>
  </si>
  <si>
    <t xml:space="preserve">Zendikar Rising - Draft Booster Box</t>
  </si>
  <si>
    <t xml:space="preserve">znr-set</t>
  </si>
  <si>
    <t xml:space="preserve">set</t>
  </si>
  <si>
    <t xml:space="preserve">Zendikar Rising - Set Booster Display</t>
  </si>
  <si>
    <t xml:space="preserve">znr-collector</t>
  </si>
  <si>
    <t xml:space="preserve">Zendikar Rising - Collector Booster Display</t>
  </si>
  <si>
    <t xml:space="preserve">Kaldheim</t>
  </si>
  <si>
    <t xml:space="preserve">khm-draft</t>
  </si>
  <si>
    <t xml:space="preserve">Kaldheim - Draft Booster Box</t>
  </si>
  <si>
    <t xml:space="preserve">khm-set</t>
  </si>
  <si>
    <t xml:space="preserve">Kaldheim - Set Booster Display</t>
  </si>
  <si>
    <t xml:space="preserve">khm-collector</t>
  </si>
  <si>
    <t xml:space="preserve">Kaldheim - Collector Booster Display</t>
  </si>
  <si>
    <t xml:space="preserve">Strixhaven</t>
  </si>
  <si>
    <t xml:space="preserve">stx-draft</t>
  </si>
  <si>
    <t xml:space="preserve">Strixhaven: School of Mages - Draft Booster Box</t>
  </si>
  <si>
    <t xml:space="preserve">stx-set</t>
  </si>
  <si>
    <t xml:space="preserve">Strixhaven: School of Mages - Set Booster Display</t>
  </si>
  <si>
    <t xml:space="preserve">stx-collector</t>
  </si>
  <si>
    <t xml:space="preserve">Strixhaven: School of Mages - Collector Booster Display</t>
  </si>
  <si>
    <t xml:space="preserve">Forgotten Realms</t>
  </si>
  <si>
    <t xml:space="preserve">afr-draft</t>
  </si>
  <si>
    <t xml:space="preserve">Adventures in the Forgotten Realms - Draft Booster Box</t>
  </si>
  <si>
    <t xml:space="preserve">afr-set</t>
  </si>
  <si>
    <t xml:space="preserve">Adventures in the Forgotten Realms - Set Booster Display</t>
  </si>
  <si>
    <t xml:space="preserve">afr-collector</t>
  </si>
  <si>
    <t xml:space="preserve">Adventures in the Forgotten Realms - Collector Booster Display</t>
  </si>
  <si>
    <t xml:space="preserve">Midnight Hunt</t>
  </si>
  <si>
    <t xml:space="preserve">mid-draft</t>
  </si>
  <si>
    <t xml:space="preserve">Innistrad: Midnight Hunt - Draft Booster Box</t>
  </si>
  <si>
    <t xml:space="preserve">mid-set</t>
  </si>
  <si>
    <t xml:space="preserve">Innistrad: Midnight Hunt - Set Booster Display</t>
  </si>
  <si>
    <t xml:space="preserve">mid-collector</t>
  </si>
  <si>
    <t xml:space="preserve">Innistrad: Midnight Hunt - Collector Booster Display</t>
  </si>
  <si>
    <t xml:space="preserve">Crimson Vow</t>
  </si>
  <si>
    <t xml:space="preserve">vow-draft</t>
  </si>
  <si>
    <t xml:space="preserve">Innistrad: Crimson Vow - Draft Booster Box</t>
  </si>
  <si>
    <t xml:space="preserve">vow-set</t>
  </si>
  <si>
    <t xml:space="preserve">Innistrad: Crimson Vow - Set Booster Display</t>
  </si>
  <si>
    <t xml:space="preserve">vow-collector</t>
  </si>
  <si>
    <t xml:space="preserve">Innistrad: Crimson Vow - Collector Booster Display</t>
  </si>
  <si>
    <t xml:space="preserve">Neon Dynasty</t>
  </si>
  <si>
    <t xml:space="preserve">neo-draft</t>
  </si>
  <si>
    <t xml:space="preserve">Kamigawa: Neon Dynasty - Draft Booster Box</t>
  </si>
  <si>
    <t xml:space="preserve">neo-set</t>
  </si>
  <si>
    <t xml:space="preserve">Kamigawa: Neon Dynasty - Set Booster Display</t>
  </si>
  <si>
    <t xml:space="preserve">neo-collector</t>
  </si>
  <si>
    <t xml:space="preserve">Kamigawa: Neon Dynasty - Collector Booster Display</t>
  </si>
  <si>
    <t xml:space="preserve">New Capenna</t>
  </si>
  <si>
    <t xml:space="preserve">snc-draft</t>
  </si>
  <si>
    <t xml:space="preserve">Streets of New Capenna - Draft Booster Box</t>
  </si>
  <si>
    <t xml:space="preserve">snc-set</t>
  </si>
  <si>
    <t xml:space="preserve">Streets of New Capenna - Set Booster Display</t>
  </si>
  <si>
    <t xml:space="preserve">snc-collector</t>
  </si>
  <si>
    <t xml:space="preserve">Streets of New Capenna - Collector Booster Display</t>
  </si>
  <si>
    <t xml:space="preserve">Dominaria United</t>
  </si>
  <si>
    <t xml:space="preserve">dmu-draft</t>
  </si>
  <si>
    <t xml:space="preserve">Dominaria United - Draft Booster Box</t>
  </si>
  <si>
    <t xml:space="preserve">dmu-set</t>
  </si>
  <si>
    <t xml:space="preserve">Dominaria United - Set Booster Box</t>
  </si>
  <si>
    <t xml:space="preserve">dmu-collector</t>
  </si>
  <si>
    <t xml:space="preserve">Dominaria United - Collector Booster Display</t>
  </si>
  <si>
    <t xml:space="preserve">Brothers' War</t>
  </si>
  <si>
    <t xml:space="preserve">bro-draft</t>
  </si>
  <si>
    <t xml:space="preserve">The Brothers' War - Draft Booster Box</t>
  </si>
  <si>
    <t xml:space="preserve">bro-set</t>
  </si>
  <si>
    <t xml:space="preserve">The Brothers' War - Set Booster Display</t>
  </si>
  <si>
    <t xml:space="preserve">bro-collector</t>
  </si>
  <si>
    <t xml:space="preserve">The Brothers' War - Collector Booster Display</t>
  </si>
  <si>
    <t xml:space="preserve">All Will Be One</t>
  </si>
  <si>
    <t xml:space="preserve">one-draft</t>
  </si>
  <si>
    <t xml:space="preserve">Phyrexia: All Will Be One - Draft Booster Box</t>
  </si>
  <si>
    <t xml:space="preserve">one-set</t>
  </si>
  <si>
    <t xml:space="preserve">Phyrexia: All Will Be One - Set Booster Display</t>
  </si>
  <si>
    <t xml:space="preserve">one-collector</t>
  </si>
  <si>
    <t xml:space="preserve">Phyrexia: All Will Be One - Collector Booster Display</t>
  </si>
  <si>
    <t xml:space="preserve">March of the Machine</t>
  </si>
  <si>
    <t xml:space="preserve">mom-draft</t>
  </si>
  <si>
    <t xml:space="preserve">March of the Machine - Draft Booster Box</t>
  </si>
  <si>
    <t xml:space="preserve">mom-set</t>
  </si>
  <si>
    <t xml:space="preserve">March of the Machine - Set Booster Display</t>
  </si>
  <si>
    <t xml:space="preserve">mom-collector</t>
  </si>
  <si>
    <t xml:space="preserve">March of the Machine - Collector Booster Display</t>
  </si>
  <si>
    <t xml:space="preserve">LotR: Tales of Middle-earth</t>
  </si>
  <si>
    <t xml:space="preserve">ltr-draft</t>
  </si>
  <si>
    <t xml:space="preserve">LTR - Draft Booster Box</t>
  </si>
  <si>
    <t xml:space="preserve">ltr-set</t>
  </si>
  <si>
    <t xml:space="preserve">LTR - Set Booster Box</t>
  </si>
  <si>
    <t xml:space="preserve">ltr-collector</t>
  </si>
  <si>
    <t xml:space="preserve">LTR - Collector Booster Display</t>
  </si>
  <si>
    <t xml:space="preserve">Wilds of Eldraine</t>
  </si>
  <si>
    <t xml:space="preserve">woe-draft</t>
  </si>
  <si>
    <t xml:space="preserve">Wilds of Eldraine - Draft Booster Display</t>
  </si>
  <si>
    <t xml:space="preserve">woe-set</t>
  </si>
  <si>
    <t xml:space="preserve">Wilds of Eldraine - Set Booster Display</t>
  </si>
  <si>
    <t xml:space="preserve">woe-collector</t>
  </si>
  <si>
    <t xml:space="preserve">Wilds of Eldraine - Collector Booster Display</t>
  </si>
  <si>
    <t xml:space="preserve">Lost Caverns of Ixalan</t>
  </si>
  <si>
    <t xml:space="preserve">lci-draft</t>
  </si>
  <si>
    <t xml:space="preserve">The Lost Caverns of Ixalan - Draft Booster Display</t>
  </si>
  <si>
    <t xml:space="preserve">lci-set</t>
  </si>
  <si>
    <t xml:space="preserve">The Lost Caverns of Ixalan - Set Booster Display</t>
  </si>
  <si>
    <t xml:space="preserve">lci-collector</t>
  </si>
  <si>
    <t xml:space="preserve">The Lost Caverns of Ixalan - Collector Booster Display</t>
  </si>
  <si>
    <t xml:space="preserve">Murders at Karlov Manor</t>
  </si>
  <si>
    <t xml:space="preserve">mkm-play</t>
  </si>
  <si>
    <t xml:space="preserve">play</t>
  </si>
  <si>
    <t xml:space="preserve">Murders at Karlov Manor - Play Booster Display</t>
  </si>
  <si>
    <t xml:space="preserve">mkm-collector</t>
  </si>
  <si>
    <t xml:space="preserve">Murders at Karlov Manor - Collector Booster Display</t>
  </si>
  <si>
    <t xml:space="preserve">Outlaws of Thunder Junction</t>
  </si>
  <si>
    <t xml:space="preserve">otj-play</t>
  </si>
  <si>
    <t xml:space="preserve">Outlaws of Thunder Junction - Play Booster Display</t>
  </si>
  <si>
    <t xml:space="preserve">otj-collector</t>
  </si>
  <si>
    <t xml:space="preserve">Outlaws of Thunder Junction - Collector Booster Display</t>
  </si>
  <si>
    <t xml:space="preserve">Modern Horizons 3</t>
  </si>
  <si>
    <t xml:space="preserve">mh3-play</t>
  </si>
  <si>
    <t xml:space="preserve">Modern Horizons 3 - Play Booster Display</t>
  </si>
  <si>
    <t xml:space="preserve">mh3-collector</t>
  </si>
  <si>
    <t xml:space="preserve">Modern Horizons 3 - Collector Booster Display</t>
  </si>
  <si>
    <t xml:space="preserve">Bloomburrow</t>
  </si>
  <si>
    <t xml:space="preserve">blb-play</t>
  </si>
  <si>
    <t xml:space="preserve">Bloomburrow - Play Booster Display</t>
  </si>
  <si>
    <t xml:space="preserve">blb-collector</t>
  </si>
  <si>
    <t xml:space="preserve">Bloomburrow - Collector Booster Display</t>
  </si>
  <si>
    <t xml:space="preserve">Duskmourn</t>
  </si>
  <si>
    <t xml:space="preserve">dsk-play</t>
  </si>
  <si>
    <t xml:space="preserve">Duskmourn: House of Horror - Play Booster Display</t>
  </si>
  <si>
    <t xml:space="preserve">dsk-collector</t>
  </si>
  <si>
    <t xml:space="preserve">Duskmourn: House of Horror - Collector Booster Display</t>
  </si>
  <si>
    <t xml:space="preserve">Foundations</t>
  </si>
  <si>
    <t xml:space="preserve">fdn-play</t>
  </si>
  <si>
    <t xml:space="preserve">Magic: The Gathering Foundations - Play Booster Display</t>
  </si>
  <si>
    <t xml:space="preserve">fdn-collector</t>
  </si>
  <si>
    <t xml:space="preserve">Magic: The Gathering Foundations - Collector Booster Display</t>
  </si>
  <si>
    <t xml:space="preserve">Aetherdrift</t>
  </si>
  <si>
    <t xml:space="preserve">dft-play</t>
  </si>
  <si>
    <t xml:space="preserve">Aetherdrift - Play Booster Display</t>
  </si>
  <si>
    <t xml:space="preserve">dft-collector</t>
  </si>
  <si>
    <t xml:space="preserve">Aetherdrift - Collector Booster Display</t>
  </si>
  <si>
    <t xml:space="preserve">Tarkir: Dragonstorm</t>
  </si>
  <si>
    <t xml:space="preserve">tdm-play</t>
  </si>
  <si>
    <t xml:space="preserve">Tarkir: Dragonstorm - Play Booster Display</t>
  </si>
  <si>
    <t xml:space="preserve">tdm-collector</t>
  </si>
  <si>
    <t xml:space="preserve">Tarkir: Dragonstorm - Collector Booster Display</t>
  </si>
  <si>
    <t xml:space="preserve">Final Fantasy</t>
  </si>
  <si>
    <t xml:space="preserve">fin-play</t>
  </si>
  <si>
    <t xml:space="preserve">FINAL FANTASY - Play Booster Display</t>
  </si>
  <si>
    <t xml:space="preserve">fin-collector</t>
  </si>
  <si>
    <t xml:space="preserve">FINAL FANTASY - Collector Booster Display</t>
  </si>
  <si>
    <t xml:space="preserve">Edge of Eternities</t>
  </si>
  <si>
    <t xml:space="preserve">eoe-play</t>
  </si>
  <si>
    <t xml:space="preserve">Edge of Eternities - Play Booster Display</t>
  </si>
  <si>
    <t xml:space="preserve">eoe-collector</t>
  </si>
  <si>
    <t xml:space="preserve">Edge of Eternities - Collector Booster Display</t>
  </si>
  <si>
    <t xml:space="preserve">Spider-Man</t>
  </si>
  <si>
    <t xml:space="preserve">spm-play</t>
  </si>
  <si>
    <t xml:space="preserve">Marvel's Spider-Man - Play Booster Display</t>
  </si>
  <si>
    <t xml:space="preserve">spm-collector</t>
  </si>
  <si>
    <t xml:space="preserve">Marvel's Spider-Man - Collector Booster Display</t>
  </si>
  <si>
    <t xml:space="preserve">Avatar: The Last Airbender</t>
  </si>
  <si>
    <t xml:space="preserve">tla-play</t>
  </si>
  <si>
    <t xml:space="preserve">Avatar: The Last Airbender - Play Booster Display</t>
  </si>
  <si>
    <t xml:space="preserve">tla-collector</t>
  </si>
  <si>
    <t xml:space="preserve">Avatar: The Last Airbender - Collector Booster Display</t>
  </si>
  <si>
    <t xml:space="preserve">Lorwyn Eclipsed</t>
  </si>
  <si>
    <t xml:space="preserve">ecl-play</t>
  </si>
  <si>
    <t xml:space="preserve">Lorwyn Eclipsed - Play Booster Display</t>
  </si>
  <si>
    <t xml:space="preserve">ecl-collector</t>
  </si>
  <si>
    <t xml:space="preserve">Lorwyn Eclipsed - Collector Booster Display</t>
  </si>
  <si>
    <t xml:space="preserve">The Hobbit</t>
  </si>
  <si>
    <t xml:space="preserve">hob-play</t>
  </si>
  <si>
    <t xml:space="preserve">The Hobbit - Play Booster Display</t>
  </si>
  <si>
    <t xml:space="preserve">hob-collector</t>
  </si>
  <si>
    <t xml:space="preserve">The Hobbit - Collector Booster Display</t>
  </si>
  <si>
    <t xml:space="preserve">Secrets of Strixhaven</t>
  </si>
  <si>
    <t xml:space="preserve">sos-play</t>
  </si>
  <si>
    <t xml:space="preserve">Secrets of Strixhaven - Play Booster Display</t>
  </si>
  <si>
    <t xml:space="preserve">sos-collector</t>
  </si>
  <si>
    <t xml:space="preserve">Secrets of Strixhaven - Collector Booster Display</t>
  </si>
  <si>
    <t xml:space="preserve">Reality Fracture</t>
  </si>
  <si>
    <t xml:space="preserve">fra-play</t>
  </si>
  <si>
    <t xml:space="preserve">Reality Fracture - Play Booster Display</t>
  </si>
  <si>
    <t xml:space="preserve">fra-collector</t>
  </si>
  <si>
    <t xml:space="preserve">Reality Fracture - Collector Booster Display</t>
  </si>
  <si>
    <t xml:space="preserve">Medians by box type</t>
  </si>
  <si>
    <t xml:space="preserve">n</t>
  </si>
  <si>
    <t xml:space="preserve">avg EV/price</t>
  </si>
  <si>
    <t xml:space="preserve">avg cash-out/price</t>
  </si>
  <si>
    <t xml:space="preserve">avg P(beat) market</t>
  </si>
  <si>
    <t xml:space="preserve">avg P(beat) cash-out</t>
  </si>
  <si>
    <t xml:space="preserve">2027 god packs - inputs (blue) and outputs (black). Card values are Reality Fracture sheet averages at 2026-10-05 prices.</t>
  </si>
  <si>
    <t xml:space="preserve">Booster god pack odds (1 in N)</t>
  </si>
  <si>
    <t xml:space="preserve">Collector god pack odds (1 in N)</t>
  </si>
  <si>
    <t xml:space="preserve">Packs per Booster box</t>
  </si>
  <si>
    <t xml:space="preserve">Packs per Collector box</t>
  </si>
  <si>
    <t xml:space="preserve">Booster Pack MSRP ($)</t>
  </si>
  <si>
    <t xml:space="preserve">Collector Booster MSRP ($)</t>
  </si>
  <si>
    <t xml:space="preserve">Normal Booster Pack EV ($)</t>
  </si>
  <si>
    <t xml:space="preserve">Normal Collector Booster EV ($)</t>
  </si>
  <si>
    <t xml:space="preserve">avg default-frame rare/mythic, non-foil ($)</t>
  </si>
  <si>
    <t xml:space="preserve">avg Booster Fun rare/mythic, non-foil ($)</t>
  </si>
  <si>
    <t xml:space="preserve">avg Booster Fun rare/mythic, foil ($)</t>
  </si>
  <si>
    <t xml:space="preserve">avg default-frame rare/mythic, foil ($)</t>
  </si>
  <si>
    <t xml:space="preserve">avg foil land ($)</t>
  </si>
  <si>
    <t xml:space="preserve">Celebration card value ($) - unknown product</t>
  </si>
  <si>
    <t xml:space="preserve">Outputs</t>
  </si>
  <si>
    <t xml:space="preserve">Booster god pack value ($) = 10 R/M + 2 BF + 2 foil BF + celebration</t>
  </si>
  <si>
    <t xml:space="preserve">Collector god pack value ($) = foil land + 3 foil R/M + 3 BF + 5 foil BF + celebration</t>
  </si>
  <si>
    <t xml:space="preserve">EV lift per Booster Pack ($)</t>
  </si>
  <si>
    <t xml:space="preserve">EV lift per Collector Booster ($)</t>
  </si>
  <si>
    <t xml:space="preserve">EV lift per Booster box ($)</t>
  </si>
  <si>
    <t xml:space="preserve">EV lift per Collector box ($)</t>
  </si>
  <si>
    <t xml:space="preserve">Lift as % of Booster Pack MSRP</t>
  </si>
  <si>
    <t xml:space="preserve">Lift as % of Collector MSRP</t>
  </si>
  <si>
    <t xml:space="preserve">P(&gt;=1 god pack) in one Booster box</t>
  </si>
  <si>
    <t xml:space="preserve">P(&gt;=1 god pack) in one Booster case (6 boxes)</t>
  </si>
  <si>
    <t xml:space="preserve">P(&gt;=1 god pack) in one Collector box</t>
  </si>
  <si>
    <t xml:space="preserve">P(&gt;=1 god pack) in one Collector case (6 boxes)</t>
  </si>
  <si>
    <t xml:space="preserve">Booster boxes for a 50% chance</t>
  </si>
  <si>
    <t xml:space="preserve">Collector boxes for a 50% chance</t>
  </si>
  <si>
    <t xml:space="preserve">$ at MSRP for a 50% chance - Booster</t>
  </si>
  <si>
    <t xml:space="preserve">$ at MSRP for a 50% chance - Collector</t>
  </si>
  <si>
    <t xml:space="preserve">Extra rares/mythics per 1,000 Booster Packs from god packs (vs ~1,282 normal)</t>
  </si>
  <si>
    <t xml:space="preserve">Supply increase of rares/mythics (%)</t>
  </si>
  <si>
    <t xml:space="preserve">Booster Pack foil slot: foil commons/uncommons removed, no guaranteed foil, foil rare/mythic rate "increased" (unpublished). Modelled on Reality Fracture.</t>
  </si>
  <si>
    <t xml:space="preserve">Today: foil slot EV ($/pack)</t>
  </si>
  <si>
    <t xml:space="preserve">Today: P(foil rare/mythic) in the slot</t>
  </si>
  <si>
    <t xml:space="preserve">Avg value of a foil rare/mythic from the slot ($)</t>
  </si>
  <si>
    <t xml:space="preserve">EV from foil commons/uncommons today ($/pack)</t>
  </si>
  <si>
    <t xml:space="preserve">Value of a plain common/uncommon that fills the slot when no foil ($)</t>
  </si>
  <si>
    <t xml:space="preserve">Packs per box</t>
  </si>
  <si>
    <t xml:space="preserve">Break-even new foil R/M rate (pack EV unchanged)</t>
  </si>
  <si>
    <t xml:space="preserve">...expressed as 1 in N packs</t>
  </si>
  <si>
    <t xml:space="preserve">New P(foil rare/mythic)</t>
  </si>
  <si>
    <t xml:space="preserve">1 in N</t>
  </si>
  <si>
    <t xml:space="preserve">New slot EV ($)</t>
  </si>
  <si>
    <t xml:space="preserve">Change per pack ($)</t>
  </si>
  <si>
    <t xml:space="preserve">Change per box ($)</t>
  </si>
  <si>
    <t xml:space="preserve">Collector Booster shrink</t>
  </si>
  <si>
    <t xml:space="preserve">avg foil common ($)</t>
  </si>
  <si>
    <t xml:space="preserve">avg foil uncommon ($)</t>
  </si>
  <si>
    <t xml:space="preserve">EV removed per Collector Booster (2 foil C + 1 foil U)</t>
  </si>
  <si>
    <t xml:space="preserve">as % of Collector MSRP $26.99</t>
  </si>
  <si>
    <t xml:space="preserve">Cards per Collector Booster: before / after</t>
  </si>
  <si>
    <t xml:space="preserve">MSRP per card: before / after</t>
  </si>
  <si>
    <t xml:space="preserve">Price-per-card increase</t>
  </si>
  <si>
    <t xml:space="preserve">Net Collector EV change incl. god pack lift ($/pack)</t>
  </si>
  <si>
    <t xml:space="preserve">One independent store's launch order for Reality Fracture (Oct 2026). Distributor costs rounded UP to the nearest $10; no names. Edit blue cells.</t>
  </si>
  <si>
    <t xml:space="preserve">Store cost (rounded up, $)</t>
  </si>
  <si>
    <t xml:space="preserve">MSRP ($)</t>
  </si>
  <si>
    <t xml:space="preserve">Online price: recent sales ($)</t>
  </si>
  <si>
    <t xml:space="preserve">Gross margin at MSRP</t>
  </si>
  <si>
    <t xml:space="preserve">Gross margin at online price</t>
  </si>
  <si>
    <t xml:space="preserve">Cost per pack ($)</t>
  </si>
  <si>
    <t xml:space="preserve">MSRP per pack ($)</t>
  </si>
  <si>
    <t xml:space="preserve">Packs</t>
  </si>
  <si>
    <t xml:space="preserve">Play Booster display (30)</t>
  </si>
  <si>
    <t xml:space="preserve">Play Booster display, effective after launch promo (free displays with case buys)</t>
  </si>
  <si>
    <t xml:space="preserve">Collector Booster display (12)</t>
  </si>
  <si>
    <t xml:space="preserve">Commander deck (Multiverse Reforged)</t>
  </si>
  <si>
    <t xml:space="preserve">Bundle</t>
  </si>
  <si>
    <t xml:space="preserve">Prerelease pack (typical shelf $30-35)</t>
  </si>
  <si>
    <t xml:space="preserve">Draft Night box</t>
  </si>
  <si>
    <t xml:space="preserve">What actually happens on the shelf (same store, calendar 2025, net of discounts; rounded, approximate)</t>
  </si>
  <si>
    <t xml:space="preserve">Item</t>
  </si>
  <si>
    <t xml:space="preserve">Sticker ($)</t>
  </si>
  <si>
    <t xml:space="preserve">Typical realized per unit after discounts ($, rounded)</t>
  </si>
  <si>
    <t xml:space="preserve">Discount %</t>
  </si>
  <si>
    <t xml:space="preserve">Note</t>
  </si>
  <si>
    <t xml:space="preserve">Universes Beyond Play Booster (single pack)</t>
  </si>
  <si>
    <t xml:space="preserve">bundle/event discounts</t>
  </si>
  <si>
    <t xml:space="preserve">Universes Beyond Collector Booster (single pack)</t>
  </si>
  <si>
    <t xml:space="preserve">Standard-set Play Booster (single pack)</t>
  </si>
  <si>
    <t xml:space="preserve">Universes Beyond Play Booster box, cleared late</t>
  </si>
  <si>
    <t xml:space="preserve">sold below MSRP to move it</t>
  </si>
  <si>
    <t xml:space="preserve">Universes Beyond Collector box</t>
  </si>
  <si>
    <t xml:space="preserve">below online price at the time</t>
  </si>
  <si>
    <t xml:space="preserve">Prerelease kit</t>
  </si>
  <si>
    <t xml:space="preserve">roughly cost x1.5</t>
  </si>
  <si>
    <t xml:space="preserve">Margin math is gross margin only: rent, staff, card fees (~3%), event prize support and unsold inventory come out of it. Singles carry far higher margin than sealed.</t>
  </si>
  <si>
    <t xml:space="preserve">Card</t>
  </si>
  <si>
    <t xml:space="preserve">Collector #</t>
  </si>
  <si>
    <t xml:space="preserve">Rarity</t>
  </si>
  <si>
    <t xml:space="preserve">Market price ($)</t>
  </si>
  <si>
    <t xml:space="preserve">blb</t>
  </si>
  <si>
    <t xml:space="preserve">Lumra, Bellow of the Woods</t>
  </si>
  <si>
    <t xml:space="preserve">183</t>
  </si>
  <si>
    <t xml:space="preserve">m</t>
  </si>
  <si>
    <t xml:space="preserve">Three Tree City</t>
  </si>
  <si>
    <t xml:space="preserve">260</t>
  </si>
  <si>
    <t xml:space="preserve">r</t>
  </si>
  <si>
    <t xml:space="preserve">Maha, Its Feathers Night</t>
  </si>
  <si>
    <t xml:space="preserve">100</t>
  </si>
  <si>
    <t xml:space="preserve">Caretaker's Talent</t>
  </si>
  <si>
    <t xml:space="preserve">6</t>
  </si>
  <si>
    <t xml:space="preserve">Ygra, Eater of All</t>
  </si>
  <si>
    <t xml:space="preserve">241</t>
  </si>
  <si>
    <t xml:space="preserve">Rottenmouth Viper</t>
  </si>
  <si>
    <t xml:space="preserve">107</t>
  </si>
  <si>
    <t xml:space="preserve">Ral, Crackling Wit</t>
  </si>
  <si>
    <t xml:space="preserve">230</t>
  </si>
  <si>
    <t xml:space="preserve">Dawn's Truce</t>
  </si>
  <si>
    <t xml:space="preserve">9</t>
  </si>
  <si>
    <t xml:space="preserve">dsk</t>
  </si>
  <si>
    <t xml:space="preserve">Overlord of the Balemurk</t>
  </si>
  <si>
    <t xml:space="preserve">113</t>
  </si>
  <si>
    <t xml:space="preserve">Valgavoth, Terror Eater</t>
  </si>
  <si>
    <t xml:space="preserve">120</t>
  </si>
  <si>
    <t xml:space="preserve">Enduring Vitality</t>
  </si>
  <si>
    <t xml:space="preserve">176</t>
  </si>
  <si>
    <t xml:space="preserve">Tyvar, the Pummeler</t>
  </si>
  <si>
    <t xml:space="preserve">202</t>
  </si>
  <si>
    <t xml:space="preserve">Enduring Tenacity</t>
  </si>
  <si>
    <t xml:space="preserve">95</t>
  </si>
  <si>
    <t xml:space="preserve">Kaito, Bane of Nightmares</t>
  </si>
  <si>
    <t xml:space="preserve">220</t>
  </si>
  <si>
    <t xml:space="preserve">Gloomlake Verge</t>
  </si>
  <si>
    <t xml:space="preserve">Abhorrent Oculus</t>
  </si>
  <si>
    <t xml:space="preserve">42</t>
  </si>
  <si>
    <t xml:space="preserve">fin</t>
  </si>
  <si>
    <t xml:space="preserve">Buster Sword</t>
  </si>
  <si>
    <t xml:space="preserve">255</t>
  </si>
  <si>
    <t xml:space="preserve">Vivi Ornitier</t>
  </si>
  <si>
    <t xml:space="preserve">248</t>
  </si>
  <si>
    <t xml:space="preserve">Sephiroth, Fabled SOLDIER // Sephiroth, One-Winged Angel</t>
  </si>
  <si>
    <t xml:space="preserve">115</t>
  </si>
  <si>
    <t xml:space="preserve">Summon: Bahamut</t>
  </si>
  <si>
    <t xml:space="preserve">1</t>
  </si>
  <si>
    <t xml:space="preserve">Cloud, Midgar Mercenary</t>
  </si>
  <si>
    <t xml:space="preserve">10</t>
  </si>
  <si>
    <t xml:space="preserve">Traveling Chocobo</t>
  </si>
  <si>
    <t xml:space="preserve">210</t>
  </si>
  <si>
    <t xml:space="preserve">Summon: Knights of Round</t>
  </si>
  <si>
    <t xml:space="preserve">36</t>
  </si>
  <si>
    <t xml:space="preserve">The Earth Crystal</t>
  </si>
  <si>
    <t xml:space="preserve">184</t>
  </si>
  <si>
    <t xml:space="preserve">otj</t>
  </si>
  <si>
    <t xml:space="preserve">Bristly Bill, Spine Sower</t>
  </si>
  <si>
    <t xml:space="preserve">157</t>
  </si>
  <si>
    <t xml:space="preserve">Terror of the Peaks</t>
  </si>
  <si>
    <t xml:space="preserve">149</t>
  </si>
  <si>
    <t xml:space="preserve">Tinybones, the Pickpocket</t>
  </si>
  <si>
    <t xml:space="preserve">109</t>
  </si>
  <si>
    <t xml:space="preserve">Gisa, the Hellraiser</t>
  </si>
  <si>
    <t xml:space="preserve">89</t>
  </si>
  <si>
    <t xml:space="preserve">Lively Dirge</t>
  </si>
  <si>
    <t xml:space="preserve">93</t>
  </si>
  <si>
    <t xml:space="preserve">u</t>
  </si>
  <si>
    <t xml:space="preserve">Insatiable Avarice</t>
  </si>
  <si>
    <t xml:space="preserve">91</t>
  </si>
  <si>
    <t xml:space="preserve">Railway Brawler</t>
  </si>
  <si>
    <t xml:space="preserve">175</t>
  </si>
  <si>
    <t xml:space="preserve">Slickshot Show-Off</t>
  </si>
  <si>
    <t xml:space="preserve">146</t>
  </si>
  <si>
    <t xml:space="preserve">mh3</t>
  </si>
  <si>
    <t xml:space="preserve">Ocelot Pride</t>
  </si>
  <si>
    <t xml:space="preserve">38</t>
  </si>
  <si>
    <t xml:space="preserve">Phyrexian Tower</t>
  </si>
  <si>
    <t xml:space="preserve">303</t>
  </si>
  <si>
    <t xml:space="preserve">Polluted Delta</t>
  </si>
  <si>
    <t xml:space="preserve">224</t>
  </si>
  <si>
    <t xml:space="preserve">Warren Soultrader</t>
  </si>
  <si>
    <t xml:space="preserve">110</t>
  </si>
  <si>
    <t xml:space="preserve">Urza's Incubator</t>
  </si>
  <si>
    <t xml:space="preserve">297</t>
  </si>
  <si>
    <t xml:space="preserve">Ulamog, the Defiler</t>
  </si>
  <si>
    <t xml:space="preserve">15</t>
  </si>
  <si>
    <t xml:space="preserve">Bloodstained Mire</t>
  </si>
  <si>
    <t xml:space="preserve">216</t>
  </si>
  <si>
    <t xml:space="preserve">Tamiyo, Inquisitive Student // Tamiyo, Seasoned Scholar</t>
  </si>
  <si>
    <t xml:space="preserve">242</t>
  </si>
  <si>
    <t xml:space="preserve">tla</t>
  </si>
  <si>
    <t xml:space="preserve">Badgermole Cub</t>
  </si>
  <si>
    <t xml:space="preserve">326</t>
  </si>
  <si>
    <t xml:space="preserve">Wan Shi Tong, Librarian</t>
  </si>
  <si>
    <t xml:space="preserve">320</t>
  </si>
  <si>
    <t xml:space="preserve">167</t>
  </si>
  <si>
    <t xml:space="preserve">78</t>
  </si>
  <si>
    <t xml:space="preserve">The Walls of Ba Sing Se</t>
  </si>
  <si>
    <t xml:space="preserve">329</t>
  </si>
  <si>
    <t xml:space="preserve">Ozai, the Phoenix King</t>
  </si>
  <si>
    <t xml:space="preserve">311</t>
  </si>
  <si>
    <t xml:space="preserve">261</t>
  </si>
  <si>
    <t xml:space="preserve">Redirect Lightning</t>
  </si>
  <si>
    <t xml:space="preserve">343</t>
  </si>
  <si>
    <t xml:space="preserve">ecl</t>
  </si>
  <si>
    <t xml:space="preserve">Hexing Squelcher</t>
  </si>
  <si>
    <t xml:space="preserve">317</t>
  </si>
  <si>
    <t xml:space="preserve">Chronicle of Victory</t>
  </si>
  <si>
    <t xml:space="preserve">346</t>
  </si>
  <si>
    <t xml:space="preserve">253</t>
  </si>
  <si>
    <t xml:space="preserve">145</t>
  </si>
  <si>
    <t xml:space="preserve">Moonshadow</t>
  </si>
  <si>
    <t xml:space="preserve">313</t>
  </si>
  <si>
    <t xml:space="preserve">Bitterbloom Bearer</t>
  </si>
  <si>
    <t xml:space="preserve">310</t>
  </si>
  <si>
    <t xml:space="preserve">88</t>
  </si>
  <si>
    <t xml:space="preserve">mkm</t>
  </si>
  <si>
    <t xml:space="preserve">Delney, Streetwise Lookout</t>
  </si>
  <si>
    <t xml:space="preserve">12</t>
  </si>
  <si>
    <t xml:space="preserve">Underground Mortuary</t>
  </si>
  <si>
    <t xml:space="preserve">271</t>
  </si>
  <si>
    <t xml:space="preserve">Thundering Falls</t>
  </si>
  <si>
    <t xml:space="preserve">269</t>
  </si>
  <si>
    <t xml:space="preserve">Undercity Sewers</t>
  </si>
  <si>
    <t xml:space="preserve">270</t>
  </si>
  <si>
    <t xml:space="preserve">Meticulous Archive</t>
  </si>
  <si>
    <t xml:space="preserve">264</t>
  </si>
  <si>
    <t xml:space="preserve">Hedge Maze</t>
  </si>
  <si>
    <t xml:space="preserve">262</t>
  </si>
  <si>
    <t xml:space="preserve">Raucous Theater</t>
  </si>
  <si>
    <t xml:space="preserve">266</t>
  </si>
  <si>
    <t xml:space="preserve">Shadowy Backstreet</t>
  </si>
  <si>
    <t xml:space="preserve">268</t>
  </si>
  <si>
    <t xml:space="preserve">fdn</t>
  </si>
  <si>
    <t xml:space="preserve">Bloodthirsty Conqueror</t>
  </si>
  <si>
    <t xml:space="preserve">58</t>
  </si>
  <si>
    <t xml:space="preserve">Doubling Season</t>
  </si>
  <si>
    <t xml:space="preserve">Twinflame Tyrant</t>
  </si>
  <si>
    <t xml:space="preserve">97</t>
  </si>
  <si>
    <t xml:space="preserve">Sire of Seven Deaths</t>
  </si>
  <si>
    <t xml:space="preserve">Mossborn Hydra</t>
  </si>
  <si>
    <t xml:space="preserve">Liliana, Dreadhorde General</t>
  </si>
  <si>
    <t xml:space="preserve">Banner of Kinship</t>
  </si>
  <si>
    <t xml:space="preserve">127</t>
  </si>
  <si>
    <t xml:space="preserve">Niv-Mizzet, Visionary</t>
  </si>
  <si>
    <t xml:space="preserve">123</t>
  </si>
  <si>
    <t xml:space="preserve">eoe</t>
  </si>
  <si>
    <t xml:space="preserve">Ouroboroid</t>
  </si>
  <si>
    <t xml:space="preserve">201</t>
  </si>
  <si>
    <t xml:space="preserve">Quantum Riddler</t>
  </si>
  <si>
    <t xml:space="preserve">72</t>
  </si>
  <si>
    <t xml:space="preserve">Icetill Explorer</t>
  </si>
  <si>
    <t xml:space="preserve">192</t>
  </si>
  <si>
    <t xml:space="preserve">Exalted Sunborn</t>
  </si>
  <si>
    <t xml:space="preserve">Tezzeret, Cruel Captain</t>
  </si>
  <si>
    <t xml:space="preserve">2</t>
  </si>
  <si>
    <t xml:space="preserve">Evendo, Waking Haven</t>
  </si>
  <si>
    <t xml:space="preserve">Dawnsire, Sunstar Dreadnought</t>
  </si>
  <si>
    <t xml:space="preserve">238</t>
  </si>
  <si>
    <t xml:space="preserve">Uthros, Titanic Godcore</t>
  </si>
  <si>
    <t xml:space="preserve">spm</t>
  </si>
  <si>
    <t xml:space="preserve">The Soul Stone</t>
  </si>
  <si>
    <t xml:space="preserve">66</t>
  </si>
  <si>
    <t xml:space="preserve">Norman Osborn // Green Goblin</t>
  </si>
  <si>
    <t xml:space="preserve">39</t>
  </si>
  <si>
    <t xml:space="preserve">Spectacular Spider-Man</t>
  </si>
  <si>
    <t xml:space="preserve">14</t>
  </si>
  <si>
    <t xml:space="preserve">Impostor Syndrome</t>
  </si>
  <si>
    <t xml:space="preserve">34</t>
  </si>
  <si>
    <t xml:space="preserve">Anti-Venom, Horrifying Healer</t>
  </si>
  <si>
    <t xml:space="preserve">Doctor Octopus, Master Planner</t>
  </si>
  <si>
    <t xml:space="preserve">128</t>
  </si>
  <si>
    <t xml:space="preserve">Multiversal Passage</t>
  </si>
  <si>
    <t xml:space="preserve">180</t>
  </si>
  <si>
    <t xml:space="preserve">Gwenom, Remorseless</t>
  </si>
  <si>
    <t xml:space="preserve">56</t>
  </si>
  <si>
    <t xml:space="preserve">tdm</t>
  </si>
  <si>
    <t xml:space="preserve">Elspeth, Storm Slayer</t>
  </si>
  <si>
    <t xml:space="preserve">11</t>
  </si>
  <si>
    <t xml:space="preserve">Ugin, Eye of the Storms</t>
  </si>
  <si>
    <t xml:space="preserve">Craterhoof Behemoth</t>
  </si>
  <si>
    <t xml:space="preserve">138</t>
  </si>
  <si>
    <t xml:space="preserve">Voice of Victory</t>
  </si>
  <si>
    <t xml:space="preserve">33</t>
  </si>
  <si>
    <t xml:space="preserve">Mox Jasper</t>
  </si>
  <si>
    <t xml:space="preserve">246</t>
  </si>
  <si>
    <t xml:space="preserve">Dracogenesis</t>
  </si>
  <si>
    <t xml:space="preserve">105</t>
  </si>
  <si>
    <t xml:space="preserve">Mistrise Village</t>
  </si>
  <si>
    <t xml:space="preserve">Betor, Kin to All</t>
  </si>
  <si>
    <t xml:space="preserve">172</t>
  </si>
  <si>
    <t xml:space="preserve">dft</t>
  </si>
  <si>
    <t xml:space="preserve">The Aetherspark</t>
  </si>
  <si>
    <t xml:space="preserve">231</t>
  </si>
  <si>
    <t xml:space="preserve">Monument to Endurance</t>
  </si>
  <si>
    <t xml:space="preserve">237</t>
  </si>
  <si>
    <t xml:space="preserve">Riverpyre Verge</t>
  </si>
  <si>
    <t xml:space="preserve">Sunbillow Verge</t>
  </si>
  <si>
    <t xml:space="preserve">Wastewood Verge</t>
  </si>
  <si>
    <t xml:space="preserve">Bleachbone Verge</t>
  </si>
  <si>
    <t xml:space="preserve">250</t>
  </si>
  <si>
    <t xml:space="preserve">Brightglass Gearhulk</t>
  </si>
  <si>
    <t xml:space="preserve">191</t>
  </si>
  <si>
    <t xml:space="preserve">Willowrush Verge</t>
  </si>
  <si>
    <t xml:space="preserve">Source</t>
  </si>
  <si>
    <t xml:space="preserve">URL</t>
  </si>
  <si>
    <t xml:space="preserve">Wizards: Updating Our Boosters in 2027 (god packs, foil change, collector shrink, no price change)</t>
  </si>
  <si>
    <t xml:space="preserve">https://magic.wizards.com/en/news/announcements/updating-our-boosters-in-2027</t>
  </si>
  <si>
    <t xml:space="preserve">WPN: 2027 booster changes for retailers (god packs removed from Limited events, replaced free)</t>
  </si>
  <si>
    <t xml:space="preserve">https://wpn.wizards.com/en/news/2027-booster-changes-for-wpn-retailers</t>
  </si>
  <si>
    <t xml:space="preserve">Wizards: Collecting Reality Fracture (MSRPs, slot odds)</t>
  </si>
  <si>
    <t xml:space="preserve">https://magic.wizards.com/en/news/feature/collecting-reality-fracture</t>
  </si>
  <si>
    <t xml:space="preserve">Wizards: Magic returns to listing MSRP with Foundations (Oct 2024)</t>
  </si>
  <si>
    <t xml:space="preserve">https://magic.wizards.com/en/news/announcements/magic-returns-to-listing-msrp-with-foundations</t>
  </si>
  <si>
    <t xml:space="preserve">Wizards: Collecting Avatar / Spider-Man / The Hobbit / Secrets of Strixhaven (MSRPs)</t>
  </si>
  <si>
    <t xml:space="preserve">https://magic.wizards.com/en/news/feature/collecting-avatar-the-last-airbender</t>
  </si>
  <si>
    <t xml:space="preserve">Scryfall bulk data (default-cards, prices = TCGplayer market)</t>
  </si>
  <si>
    <t xml:space="preserve">https://scryfall.com/docs/api/bulk-data</t>
  </si>
  <si>
    <t xml:space="preserve">taw/magic-sealed-data (pack sheet structure, mirrors mtg.wtf)</t>
  </si>
  <si>
    <t xml:space="preserve">https://github.com/taw/magic-sealed-data</t>
  </si>
  <si>
    <t xml:space="preserve">TCGplayer latest-sales endpoint (5 most recent completed sales per product)</t>
  </si>
  <si>
    <t xml:space="preserve">https://www.tcgplayer.com</t>
  </si>
  <si>
    <t xml:space="preserve">TableTopMeta EV tracker (independent cross-check: Foundations $265 vs model $266; Aetherdrift $171 vs $166; MH3 $417 vs $385)</t>
  </si>
  <si>
    <t xml:space="preserve">https://www.tabletopmeta.com/ev</t>
  </si>
  <si>
    <t xml:space="preserve">MTGStocks: Aetherdrift prices 3 months after release (-30% boxes, singles halved)</t>
  </si>
  <si>
    <t xml:space="preserve">https://www.mtgstocks.com/news/17099-checking-in-on-aetherdrift-prices</t>
  </si>
  <si>
    <t xml:space="preserve">MTG Rocks: Spider-Man Collector box crash (MTGGoldfish 5-box opening: $4,000 of product, $1,997 of cards)</t>
  </si>
  <si>
    <t xml:space="preserve">https://mtgrocks.com/mtg-spider-man-collector-boosters-crash/</t>
  </si>
  <si>
    <t xml:space="preserve">GameSpot: MTG has a price problem (UB pricing, "MSRP may as well not exist")</t>
  </si>
  <si>
    <t xml:space="preserve">https://www.gamespot.com/articles/magic-the-gathering-has-a-price-problem-and-its-sabotaging-universes-beyond/1100-6533484/</t>
  </si>
  <si>
    <t xml:space="preserve">Draftsim: 2027 booster changes</t>
  </si>
  <si>
    <t xml:space="preserve">https://draftsim.com/mtg-2027-booster-pack-changes/</t>
  </si>
  <si>
    <t xml:space="preserve">Kotaku: god packs / gambling framing</t>
  </si>
  <si>
    <t xml:space="preserve">https://kotaku.com/magic-the-gathering-adding-god-packs-2000740004</t>
  </si>
  <si>
    <t xml:space="preserve">TCGTalk: Pokemon god pack odds (community est. 1 in 1,500-4,000)</t>
  </si>
  <si>
    <t xml:space="preserve">https://tcgtalk.com/guides/ascended-heroes-pull-rates-god-pack</t>
  </si>
  <si>
    <t xml:space="preserve">MTG Salvation forum: Draft-era wholesale ~50% of MSRP (single anecdote)</t>
  </si>
  <si>
    <t xml:space="preserve">https://www.mtgsalvation.com/forums/magic-fundamentals/magic-general/478738-how-much-does-sealed-product-cost-an-lgs-from-a</t>
  </si>
  <si>
    <t xml:space="preserve">The second price: hours and sunk cost to turn a box into cash. Blue = assumptions you can change. Modelled on a Reality Fracture Play Booster box.</t>
  </si>
  <si>
    <t xml:space="preserve">Cards in the box</t>
  </si>
  <si>
    <t xml:space="preserve">Cards worth $1 or more (listable)</t>
  </si>
  <si>
    <t xml:space="preserve">Cards worth $5 or more</t>
  </si>
  <si>
    <t xml:space="preserve">Market value of listable cards ($)</t>
  </si>
  <si>
    <t xml:space="preserve">Market value of sub-$1 cards ($)</t>
  </si>
  <si>
    <t xml:space="preserve">Seconds to sort / identify / condition-check each card</t>
  </si>
  <si>
    <t xml:space="preserve">Minutes to list each listable card</t>
  </si>
  <si>
    <t xml:space="preserve">Share of listed cards that sell within 90 days at market</t>
  </si>
  <si>
    <t xml:space="preserve">Price cut needed to move the rest after 90 days (new-set decay)</t>
  </si>
  <si>
    <t xml:space="preserve">Minutes to pack, label and mail each order</t>
  </si>
  <si>
    <t xml:space="preserve">Marketplace + payment fees</t>
  </si>
  <si>
    <t xml:space="preserve">Supplies per order: envelope, sleeve, toploader, stamp ($)</t>
  </si>
  <si>
    <t xml:space="preserve">Bulk buylist rate per 1,000 commons/uncommons ($)</t>
  </si>
  <si>
    <t xml:space="preserve">Your hourly value of time ($)</t>
  </si>
  <si>
    <t xml:space="preserve">Hours sorting the whole box</t>
  </si>
  <si>
    <t xml:space="preserve">Hours listing</t>
  </si>
  <si>
    <t xml:space="preserve">Orders in the first 90 days</t>
  </si>
  <si>
    <t xml:space="preserve">Hours packing and shipping (first 90 days)</t>
  </si>
  <si>
    <t xml:space="preserve">Gross sales in 90 days at market ($)</t>
  </si>
  <si>
    <t xml:space="preserve">Net after fees and supplies ($)</t>
  </si>
  <si>
    <t xml:space="preserve">Cards still unsold after 90 days</t>
  </si>
  <si>
    <t xml:space="preserve">Their value after the price cut ($)</t>
  </si>
  <si>
    <t xml:space="preserve">Bulk payout for the sub-$1 pile ($)</t>
  </si>
  <si>
    <t xml:space="preserve">Total hours (sort + list + ship)</t>
  </si>
  <si>
    <t xml:space="preserve">Cash in hand after 90 days ($)</t>
  </si>
  <si>
    <t xml:space="preserve">Effective hourly rate on the selling work ($/hr)</t>
  </si>
  <si>
    <t xml:space="preserve">Cost of your time at your hourly value ($)</t>
  </si>
  <si>
    <t xml:space="preserve">Box price (recent sales) ($)</t>
  </si>
  <si>
    <t xml:space="preserve">Net position after 90 days incl. time ($)</t>
  </si>
  <si>
    <t xml:space="preserve">Reading: the box money is sunk the moment you open it; the hours are a second payment. The 396 sub-$1 cards are worth about $97 on paper and about $1.50 at a bulk buylist, and that gap is most of the difference between "EV" and cash.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</si>
</sst>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0.00"/>
    <numFmt numFmtId="167" formatCode="0.0%"/>
    <numFmt numFmtId="168" formatCode="0%"/>
    <numFmt numFmtId="169" formatCode="0.0"/>
    <numFmt numFmtId="170" formatCode="\$0.000"/>
    <numFmt numFmtId="171" formatCode="\$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0"/>
  </cols>
  <sheetData>
    <row r="1" customFormat="false" ht="15" hidden="false" customHeight="false" outlineLevel="0" collapsed="false">
      <c r="A1" s="2" t="s">
        <v>0</v>
      </c>
    </row>
    <row r="2" customFormat="false" ht="26.8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26.85" hidden="false" customHeight="false" outlineLevel="0" collapsed="false">
      <c r="A4" s="3" t="s">
        <v>3</v>
      </c>
    </row>
    <row r="5" customFormat="false" ht="26.85" hidden="false" customHeight="false" outlineLevel="0" collapsed="false">
      <c r="A5" s="3" t="s">
        <v>4</v>
      </c>
    </row>
    <row r="6" customFormat="false" ht="26.85" hidden="false" customHeight="false" outlineLevel="0" collapsed="false">
      <c r="A6" s="3" t="s">
        <v>5</v>
      </c>
    </row>
    <row r="7" customFormat="false" ht="15" hidden="false" customHeight="false" outlineLevel="0" collapsed="false">
      <c r="A7" s="3" t="s">
        <v>6</v>
      </c>
    </row>
    <row r="8" customFormat="false" ht="52.2" hidden="false" customHeight="false" outlineLevel="0" collapsed="false">
      <c r="A8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7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8" min="6" style="1" width="12"/>
    <col collapsed="false" customWidth="true" hidden="false" outlineLevel="0" max="9" min="9" style="1" width="14"/>
    <col collapsed="false" customWidth="true" hidden="false" outlineLevel="0" max="11" min="10" style="1" width="11"/>
    <col collapsed="false" customWidth="true" hidden="false" outlineLevel="0" max="12" min="12" style="1" width="12"/>
    <col collapsed="false" customWidth="true" hidden="false" outlineLevel="0" max="13" min="13" style="1" width="11"/>
    <col collapsed="false" customWidth="true" hidden="false" outlineLevel="0" max="14" min="14" style="1" width="10"/>
    <col collapsed="false" customWidth="true" hidden="false" outlineLevel="0" max="15" min="15" style="1" width="11"/>
    <col collapsed="false" customWidth="true" hidden="false" outlineLevel="0" max="16" min="16" style="1" width="10"/>
    <col collapsed="false" customWidth="true" hidden="false" outlineLevel="0" max="18" min="17" style="1" width="11"/>
    <col collapsed="false" customWidth="true" hidden="false" outlineLevel="0" max="21" min="19" style="1" width="10"/>
    <col collapsed="false" customWidth="true" hidden="false" outlineLevel="0" max="22" min="22" style="1" width="14"/>
    <col collapsed="false" customWidth="true" hidden="false" outlineLevel="0" max="23" min="23" style="1" width="48"/>
  </cols>
  <sheetData>
    <row r="1" customFormat="false" ht="15" hidden="false" customHeight="false" outlineLevel="0" collapsed="false">
      <c r="A1" s="4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" hidden="false" customHeight="false" outlineLevel="0" collapsed="false">
      <c r="A2" s="5" t="s">
        <v>9</v>
      </c>
      <c r="B2" s="6" t="n">
        <v>1</v>
      </c>
      <c r="C2" s="5"/>
      <c r="D2" s="7" t="s">
        <v>10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customFormat="false" ht="15" hidden="false" customHeight="false" outlineLevel="0" collapsed="false">
      <c r="A3" s="5" t="s">
        <v>11</v>
      </c>
      <c r="B3" s="6" t="n">
        <v>0.5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customFormat="false" ht="15" hidden="false" customHeight="false" outlineLevel="0" collapsed="false">
      <c r="A4" s="5" t="s">
        <v>12</v>
      </c>
      <c r="B4" s="6" t="n">
        <v>0.7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customFormat="false" ht="77.6" hidden="false" customHeight="false" outlineLevel="0" collapsed="false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8" t="s">
        <v>18</v>
      </c>
      <c r="G6" s="8" t="s">
        <v>19</v>
      </c>
      <c r="H6" s="8" t="s">
        <v>20</v>
      </c>
      <c r="I6" s="8" t="s">
        <v>21</v>
      </c>
      <c r="J6" s="8" t="s">
        <v>22</v>
      </c>
      <c r="K6" s="8" t="s">
        <v>23</v>
      </c>
      <c r="L6" s="8" t="s">
        <v>24</v>
      </c>
      <c r="M6" s="8" t="s">
        <v>25</v>
      </c>
      <c r="N6" s="8" t="s">
        <v>26</v>
      </c>
      <c r="O6" s="8" t="s">
        <v>27</v>
      </c>
      <c r="P6" s="8" t="s">
        <v>28</v>
      </c>
      <c r="Q6" s="8" t="s">
        <v>29</v>
      </c>
      <c r="R6" s="8" t="s">
        <v>30</v>
      </c>
      <c r="S6" s="8" t="s">
        <v>31</v>
      </c>
      <c r="T6" s="8" t="s">
        <v>32</v>
      </c>
      <c r="U6" s="8" t="s">
        <v>33</v>
      </c>
      <c r="V6" s="8" t="s">
        <v>34</v>
      </c>
      <c r="W6" s="8" t="s">
        <v>35</v>
      </c>
    </row>
    <row r="7" customFormat="false" ht="15" hidden="false" customHeight="false" outlineLevel="0" collapsed="false">
      <c r="A7" s="9" t="s">
        <v>36</v>
      </c>
      <c r="B7" s="9" t="s">
        <v>37</v>
      </c>
      <c r="C7" s="9" t="n">
        <v>2016</v>
      </c>
      <c r="D7" s="9" t="s">
        <v>38</v>
      </c>
      <c r="E7" s="9" t="n">
        <v>36</v>
      </c>
      <c r="F7" s="10" t="n">
        <v>3</v>
      </c>
      <c r="G7" s="10" t="n">
        <v>107.91</v>
      </c>
      <c r="H7" s="10" t="n">
        <v>22.57</v>
      </c>
      <c r="I7" s="10"/>
      <c r="J7" s="10"/>
      <c r="K7" s="10"/>
      <c r="L7" s="10"/>
      <c r="M7" s="10"/>
      <c r="N7" s="11" t="str">
        <f aca="false">IF(I7="","",G7/I7)</f>
        <v/>
      </c>
      <c r="O7" s="11" t="str">
        <f aca="false">IF(I7="","",H7/I7)</f>
        <v/>
      </c>
      <c r="P7" s="11" t="str">
        <f aca="false">IF(M7="","",G7/M7)</f>
        <v/>
      </c>
      <c r="Q7" s="12"/>
      <c r="R7" s="12"/>
      <c r="S7" s="10" t="n">
        <v>89.53</v>
      </c>
      <c r="T7" s="10" t="n">
        <v>106.21</v>
      </c>
      <c r="U7" s="10" t="n">
        <v>128.32</v>
      </c>
      <c r="V7" s="13" t="n">
        <v>0.924</v>
      </c>
      <c r="W7" s="9"/>
    </row>
    <row r="8" customFormat="false" ht="15" hidden="false" customHeight="false" outlineLevel="0" collapsed="false">
      <c r="A8" s="9" t="s">
        <v>39</v>
      </c>
      <c r="B8" s="9" t="s">
        <v>40</v>
      </c>
      <c r="C8" s="9" t="n">
        <v>2016</v>
      </c>
      <c r="D8" s="9" t="s">
        <v>38</v>
      </c>
      <c r="E8" s="9" t="n">
        <v>36</v>
      </c>
      <c r="F8" s="10" t="n">
        <v>3.82</v>
      </c>
      <c r="G8" s="10" t="n">
        <v>137.62</v>
      </c>
      <c r="H8" s="10" t="n">
        <v>39.2</v>
      </c>
      <c r="I8" s="10"/>
      <c r="J8" s="10"/>
      <c r="K8" s="10"/>
      <c r="L8" s="10"/>
      <c r="M8" s="10"/>
      <c r="N8" s="11" t="str">
        <f aca="false">IF(I8="","",G8/I8)</f>
        <v/>
      </c>
      <c r="O8" s="11" t="str">
        <f aca="false">IF(I8="","",H8/I8)</f>
        <v/>
      </c>
      <c r="P8" s="11" t="str">
        <f aca="false">IF(M8="","",G8/M8)</f>
        <v/>
      </c>
      <c r="Q8" s="12"/>
      <c r="R8" s="12"/>
      <c r="S8" s="10" t="n">
        <v>101.87</v>
      </c>
      <c r="T8" s="10" t="n">
        <v>134.04</v>
      </c>
      <c r="U8" s="10" t="n">
        <v>177.35</v>
      </c>
      <c r="V8" s="13" t="n">
        <v>0.946</v>
      </c>
      <c r="W8" s="9"/>
    </row>
    <row r="9" customFormat="false" ht="15" hidden="false" customHeight="false" outlineLevel="0" collapsed="false">
      <c r="A9" s="9" t="s">
        <v>41</v>
      </c>
      <c r="B9" s="9" t="s">
        <v>42</v>
      </c>
      <c r="C9" s="9" t="n">
        <v>2016</v>
      </c>
      <c r="D9" s="9" t="s">
        <v>38</v>
      </c>
      <c r="E9" s="9" t="n">
        <v>36</v>
      </c>
      <c r="F9" s="10" t="n">
        <v>3.71</v>
      </c>
      <c r="G9" s="10" t="n">
        <v>133.48</v>
      </c>
      <c r="H9" s="10" t="n">
        <v>38.38</v>
      </c>
      <c r="I9" s="10" t="n">
        <v>599.49</v>
      </c>
      <c r="J9" s="10" t="n">
        <v>349.95</v>
      </c>
      <c r="K9" s="10" t="n">
        <v>606.98</v>
      </c>
      <c r="L9" s="10" t="n">
        <v>537.1</v>
      </c>
      <c r="M9" s="10"/>
      <c r="N9" s="11" t="n">
        <f aca="false">IF(I9="","",G9/I9)</f>
        <v>0.222655924202239</v>
      </c>
      <c r="O9" s="11" t="n">
        <f aca="false">IF(I9="","",H9/I9)</f>
        <v>0.064021084588567</v>
      </c>
      <c r="P9" s="11" t="str">
        <f aca="false">IF(M9="","",G9/M9)</f>
        <v/>
      </c>
      <c r="Q9" s="12" t="n">
        <v>0</v>
      </c>
      <c r="R9" s="12" t="n">
        <v>0</v>
      </c>
      <c r="S9" s="10" t="n">
        <v>106.02</v>
      </c>
      <c r="T9" s="10" t="n">
        <v>131.6</v>
      </c>
      <c r="U9" s="10" t="n">
        <v>163.81</v>
      </c>
      <c r="V9" s="13" t="n">
        <v>1</v>
      </c>
      <c r="W9" s="9" t="s">
        <v>43</v>
      </c>
    </row>
    <row r="10" customFormat="false" ht="15" hidden="false" customHeight="false" outlineLevel="0" collapsed="false">
      <c r="A10" s="9" t="s">
        <v>44</v>
      </c>
      <c r="B10" s="9" t="s">
        <v>45</v>
      </c>
      <c r="C10" s="9" t="n">
        <v>2017</v>
      </c>
      <c r="D10" s="9" t="s">
        <v>38</v>
      </c>
      <c r="E10" s="9" t="n">
        <v>36</v>
      </c>
      <c r="F10" s="10" t="n">
        <v>3.74</v>
      </c>
      <c r="G10" s="10" t="n">
        <v>134.78</v>
      </c>
      <c r="H10" s="10" t="n">
        <v>33.87</v>
      </c>
      <c r="I10" s="10" t="n">
        <v>213.99</v>
      </c>
      <c r="J10" s="10" t="n">
        <v>210</v>
      </c>
      <c r="K10" s="10" t="n">
        <v>222.22</v>
      </c>
      <c r="L10" s="10" t="n">
        <v>202.64</v>
      </c>
      <c r="M10" s="10"/>
      <c r="N10" s="11" t="n">
        <f aca="false">IF(I10="","",G10/I10)</f>
        <v>0.629842516005421</v>
      </c>
      <c r="O10" s="11" t="n">
        <f aca="false">IF(I10="","",H10/I10)</f>
        <v>0.158278424225431</v>
      </c>
      <c r="P10" s="11" t="str">
        <f aca="false">IF(M10="","",G10/M10)</f>
        <v/>
      </c>
      <c r="Q10" s="12" t="n">
        <v>0.001</v>
      </c>
      <c r="R10" s="12" t="n">
        <v>0</v>
      </c>
      <c r="S10" s="10" t="n">
        <v>112.51</v>
      </c>
      <c r="T10" s="10" t="n">
        <v>133.68</v>
      </c>
      <c r="U10" s="10" t="n">
        <v>159.37</v>
      </c>
      <c r="V10" s="13" t="n">
        <v>1</v>
      </c>
      <c r="W10" s="9" t="s">
        <v>46</v>
      </c>
    </row>
    <row r="11" customFormat="false" ht="15" hidden="false" customHeight="false" outlineLevel="0" collapsed="false">
      <c r="A11" s="9" t="s">
        <v>47</v>
      </c>
      <c r="B11" s="9" t="s">
        <v>48</v>
      </c>
      <c r="C11" s="9" t="n">
        <v>2017</v>
      </c>
      <c r="D11" s="9" t="s">
        <v>38</v>
      </c>
      <c r="E11" s="9" t="n">
        <v>36</v>
      </c>
      <c r="F11" s="10" t="n">
        <v>4.88</v>
      </c>
      <c r="G11" s="10" t="n">
        <v>175.67</v>
      </c>
      <c r="H11" s="10" t="n">
        <v>57.38</v>
      </c>
      <c r="I11" s="10" t="n">
        <v>408.5</v>
      </c>
      <c r="J11" s="10" t="n">
        <v>399</v>
      </c>
      <c r="K11" s="10" t="n">
        <v>445.96</v>
      </c>
      <c r="L11" s="10" t="n">
        <v>395.72</v>
      </c>
      <c r="M11" s="10"/>
      <c r="N11" s="11" t="n">
        <f aca="false">IF(I11="","",G11/I11)</f>
        <v>0.430036719706242</v>
      </c>
      <c r="O11" s="11" t="n">
        <f aca="false">IF(I11="","",H11/I11)</f>
        <v>0.14046511627907</v>
      </c>
      <c r="P11" s="11" t="str">
        <f aca="false">IF(M11="","",G11/M11)</f>
        <v/>
      </c>
      <c r="Q11" s="12" t="n">
        <v>0.001</v>
      </c>
      <c r="R11" s="12" t="n">
        <v>0</v>
      </c>
      <c r="S11" s="10" t="n">
        <v>124.89</v>
      </c>
      <c r="T11" s="10" t="n">
        <v>159.69</v>
      </c>
      <c r="U11" s="10" t="n">
        <v>255.29</v>
      </c>
      <c r="V11" s="13" t="n">
        <v>0.975</v>
      </c>
      <c r="W11" s="9" t="s">
        <v>49</v>
      </c>
    </row>
    <row r="12" customFormat="false" ht="15" hidden="false" customHeight="false" outlineLevel="0" collapsed="false">
      <c r="A12" s="9" t="s">
        <v>50</v>
      </c>
      <c r="B12" s="9" t="s">
        <v>51</v>
      </c>
      <c r="C12" s="9" t="n">
        <v>2017</v>
      </c>
      <c r="D12" s="9" t="s">
        <v>38</v>
      </c>
      <c r="E12" s="9" t="n">
        <v>36</v>
      </c>
      <c r="F12" s="10" t="n">
        <v>4.63</v>
      </c>
      <c r="G12" s="10" t="n">
        <v>166.58</v>
      </c>
      <c r="H12" s="10" t="n">
        <v>53.27</v>
      </c>
      <c r="I12" s="10" t="n">
        <v>303</v>
      </c>
      <c r="J12" s="10" t="n">
        <v>294.99</v>
      </c>
      <c r="K12" s="10" t="n">
        <v>314.99</v>
      </c>
      <c r="L12" s="10" t="n">
        <v>295.31</v>
      </c>
      <c r="M12" s="10"/>
      <c r="N12" s="11" t="n">
        <f aca="false">IF(I12="","",G12/I12)</f>
        <v>0.54976897689769</v>
      </c>
      <c r="O12" s="11" t="n">
        <f aca="false">IF(I12="","",H12/I12)</f>
        <v>0.175808580858086</v>
      </c>
      <c r="P12" s="11" t="str">
        <f aca="false">IF(M12="","",G12/M12)</f>
        <v/>
      </c>
      <c r="Q12" s="12" t="n">
        <v>0.002</v>
      </c>
      <c r="R12" s="12" t="n">
        <v>0</v>
      </c>
      <c r="S12" s="10" t="n">
        <v>125.07</v>
      </c>
      <c r="T12" s="10" t="n">
        <v>161.84</v>
      </c>
      <c r="U12" s="10" t="n">
        <v>215.99</v>
      </c>
      <c r="V12" s="13" t="n">
        <v>0.975</v>
      </c>
      <c r="W12" s="9" t="s">
        <v>52</v>
      </c>
    </row>
    <row r="13" customFormat="false" ht="15" hidden="false" customHeight="false" outlineLevel="0" collapsed="false">
      <c r="A13" s="9" t="s">
        <v>53</v>
      </c>
      <c r="B13" s="9" t="s">
        <v>54</v>
      </c>
      <c r="C13" s="9" t="n">
        <v>2017</v>
      </c>
      <c r="D13" s="9" t="s">
        <v>38</v>
      </c>
      <c r="E13" s="9" t="n">
        <v>36</v>
      </c>
      <c r="F13" s="10" t="n">
        <v>3.84</v>
      </c>
      <c r="G13" s="10" t="n">
        <v>138.25</v>
      </c>
      <c r="H13" s="10" t="n">
        <v>26.29</v>
      </c>
      <c r="I13" s="10" t="n">
        <v>235.25</v>
      </c>
      <c r="J13" s="10" t="n">
        <v>149.99</v>
      </c>
      <c r="K13" s="10" t="n">
        <v>245.95</v>
      </c>
      <c r="L13" s="10" t="n">
        <v>235.8</v>
      </c>
      <c r="M13" s="10"/>
      <c r="N13" s="11" t="n">
        <f aca="false">IF(I13="","",G13/I13)</f>
        <v>0.587672688629118</v>
      </c>
      <c r="O13" s="11" t="n">
        <f aca="false">IF(I13="","",H13/I13)</f>
        <v>0.111753453772582</v>
      </c>
      <c r="P13" s="11" t="str">
        <f aca="false">IF(M13="","",G13/M13)</f>
        <v/>
      </c>
      <c r="Q13" s="12" t="n">
        <v>0</v>
      </c>
      <c r="R13" s="12" t="n">
        <v>0</v>
      </c>
      <c r="S13" s="10" t="n">
        <v>117.7</v>
      </c>
      <c r="T13" s="10" t="n">
        <v>136.24</v>
      </c>
      <c r="U13" s="10" t="n">
        <v>164.45</v>
      </c>
      <c r="V13" s="13" t="n">
        <v>0.99</v>
      </c>
      <c r="W13" s="9" t="s">
        <v>55</v>
      </c>
    </row>
    <row r="14" customFormat="false" ht="15" hidden="false" customHeight="false" outlineLevel="0" collapsed="false">
      <c r="A14" s="9" t="s">
        <v>56</v>
      </c>
      <c r="B14" s="9" t="s">
        <v>57</v>
      </c>
      <c r="C14" s="9" t="n">
        <v>2018</v>
      </c>
      <c r="D14" s="9" t="s">
        <v>38</v>
      </c>
      <c r="E14" s="9" t="n">
        <v>36</v>
      </c>
      <c r="F14" s="10" t="n">
        <v>4.99</v>
      </c>
      <c r="G14" s="10" t="n">
        <v>179.61</v>
      </c>
      <c r="H14" s="10" t="n">
        <v>49.2</v>
      </c>
      <c r="I14" s="10" t="n">
        <v>213.74</v>
      </c>
      <c r="J14" s="10" t="n">
        <v>200</v>
      </c>
      <c r="K14" s="10" t="n">
        <v>223.59</v>
      </c>
      <c r="L14" s="10" t="n">
        <v>206.52</v>
      </c>
      <c r="M14" s="10"/>
      <c r="N14" s="11" t="n">
        <f aca="false">IF(I14="","",G14/I14)</f>
        <v>0.840320014971461</v>
      </c>
      <c r="O14" s="11" t="n">
        <f aca="false">IF(I14="","",H14/I14)</f>
        <v>0.230186207541873</v>
      </c>
      <c r="P14" s="11" t="str">
        <f aca="false">IF(M14="","",G14/M14)</f>
        <v/>
      </c>
      <c r="Q14" s="12" t="n">
        <v>0.046</v>
      </c>
      <c r="R14" s="12" t="n">
        <v>0</v>
      </c>
      <c r="S14" s="10" t="n">
        <v>156.5</v>
      </c>
      <c r="T14" s="10" t="n">
        <v>177.74</v>
      </c>
      <c r="U14" s="10" t="n">
        <v>204.15</v>
      </c>
      <c r="V14" s="13" t="n">
        <v>0.992</v>
      </c>
      <c r="W14" s="9" t="s">
        <v>58</v>
      </c>
    </row>
    <row r="15" customFormat="false" ht="15" hidden="false" customHeight="false" outlineLevel="0" collapsed="false">
      <c r="A15" s="9" t="s">
        <v>59</v>
      </c>
      <c r="B15" s="9" t="s">
        <v>60</v>
      </c>
      <c r="C15" s="9" t="n">
        <v>2018</v>
      </c>
      <c r="D15" s="9" t="s">
        <v>38</v>
      </c>
      <c r="E15" s="9" t="n">
        <v>36</v>
      </c>
      <c r="F15" s="10" t="n">
        <v>5.4</v>
      </c>
      <c r="G15" s="10" t="n">
        <v>194.35</v>
      </c>
      <c r="H15" s="10" t="n">
        <v>64.22</v>
      </c>
      <c r="I15" s="10" t="n">
        <v>224.98</v>
      </c>
      <c r="J15" s="10" t="n">
        <v>223.99</v>
      </c>
      <c r="K15" s="10" t="n">
        <v>239.95</v>
      </c>
      <c r="L15" s="10" t="n">
        <v>222.15</v>
      </c>
      <c r="M15" s="10"/>
      <c r="N15" s="11" t="n">
        <f aca="false">IF(I15="","",G15/I15)</f>
        <v>0.863854564850209</v>
      </c>
      <c r="O15" s="11" t="n">
        <f aca="false">IF(I15="","",H15/I15)</f>
        <v>0.285447595341808</v>
      </c>
      <c r="P15" s="11" t="str">
        <f aca="false">IF(M15="","",G15/M15)</f>
        <v/>
      </c>
      <c r="Q15" s="12" t="n">
        <v>0.266</v>
      </c>
      <c r="R15" s="12" t="n">
        <v>0.004</v>
      </c>
      <c r="S15" s="10" t="n">
        <v>146.52</v>
      </c>
      <c r="T15" s="10" t="n">
        <v>174.01</v>
      </c>
      <c r="U15" s="10" t="n">
        <v>263.86</v>
      </c>
      <c r="V15" s="13" t="n">
        <v>1</v>
      </c>
      <c r="W15" s="9" t="s">
        <v>61</v>
      </c>
    </row>
    <row r="16" customFormat="false" ht="15" hidden="false" customHeight="false" outlineLevel="0" collapsed="false">
      <c r="A16" s="9" t="s">
        <v>62</v>
      </c>
      <c r="B16" s="9" t="s">
        <v>63</v>
      </c>
      <c r="C16" s="9" t="n">
        <v>2018</v>
      </c>
      <c r="D16" s="9" t="s">
        <v>38</v>
      </c>
      <c r="E16" s="9" t="n">
        <v>36</v>
      </c>
      <c r="F16" s="10" t="n">
        <v>4.86</v>
      </c>
      <c r="G16" s="10" t="n">
        <v>174.89</v>
      </c>
      <c r="H16" s="10" t="n">
        <v>51.15</v>
      </c>
      <c r="I16" s="10" t="n">
        <v>220</v>
      </c>
      <c r="J16" s="10" t="n">
        <v>195.99</v>
      </c>
      <c r="K16" s="10" t="n">
        <v>229.95</v>
      </c>
      <c r="L16" s="10" t="n">
        <v>205.08</v>
      </c>
      <c r="M16" s="10"/>
      <c r="N16" s="11" t="n">
        <f aca="false">IF(I16="","",G16/I16)</f>
        <v>0.794954545454545</v>
      </c>
      <c r="O16" s="11" t="n">
        <f aca="false">IF(I16="","",H16/I16)</f>
        <v>0.2325</v>
      </c>
      <c r="P16" s="11" t="str">
        <f aca="false">IF(M16="","",G16/M16)</f>
        <v/>
      </c>
      <c r="Q16" s="12" t="n">
        <v>0.099</v>
      </c>
      <c r="R16" s="12" t="n">
        <v>0</v>
      </c>
      <c r="S16" s="10" t="n">
        <v>138.74</v>
      </c>
      <c r="T16" s="10" t="n">
        <v>169.53</v>
      </c>
      <c r="U16" s="10" t="n">
        <v>219.64</v>
      </c>
      <c r="V16" s="13" t="n">
        <v>0.999</v>
      </c>
      <c r="W16" s="9" t="s">
        <v>64</v>
      </c>
    </row>
    <row r="17" customFormat="false" ht="15" hidden="false" customHeight="false" outlineLevel="0" collapsed="false">
      <c r="A17" s="9" t="s">
        <v>65</v>
      </c>
      <c r="B17" s="9" t="s">
        <v>66</v>
      </c>
      <c r="C17" s="9" t="n">
        <v>2018</v>
      </c>
      <c r="D17" s="9" t="s">
        <v>38</v>
      </c>
      <c r="E17" s="9" t="n">
        <v>36</v>
      </c>
      <c r="F17" s="10" t="n">
        <v>3.98</v>
      </c>
      <c r="G17" s="10" t="n">
        <v>143.43</v>
      </c>
      <c r="H17" s="10" t="n">
        <v>39.69</v>
      </c>
      <c r="I17" s="10" t="n">
        <v>174.98</v>
      </c>
      <c r="J17" s="10" t="n">
        <v>159.99</v>
      </c>
      <c r="K17" s="10" t="n">
        <v>174.98</v>
      </c>
      <c r="L17" s="10" t="n">
        <v>161.19</v>
      </c>
      <c r="M17" s="10"/>
      <c r="N17" s="11" t="n">
        <f aca="false">IF(I17="","",G17/I17)</f>
        <v>0.819693679277632</v>
      </c>
      <c r="O17" s="11" t="n">
        <f aca="false">IF(I17="","",H17/I17)</f>
        <v>0.226825922962624</v>
      </c>
      <c r="P17" s="11" t="str">
        <f aca="false">IF(M17="","",G17/M17)</f>
        <v/>
      </c>
      <c r="Q17" s="12" t="n">
        <v>0.072</v>
      </c>
      <c r="R17" s="12" t="n">
        <v>0</v>
      </c>
      <c r="S17" s="10" t="n">
        <v>117.99</v>
      </c>
      <c r="T17" s="10" t="n">
        <v>141.34</v>
      </c>
      <c r="U17" s="10" t="n">
        <v>170.42</v>
      </c>
      <c r="V17" s="13" t="n">
        <v>0.982</v>
      </c>
      <c r="W17" s="9" t="s">
        <v>67</v>
      </c>
    </row>
    <row r="18" customFormat="false" ht="15" hidden="false" customHeight="false" outlineLevel="0" collapsed="false">
      <c r="A18" s="9" t="s">
        <v>68</v>
      </c>
      <c r="B18" s="9" t="s">
        <v>69</v>
      </c>
      <c r="C18" s="9" t="n">
        <v>2019</v>
      </c>
      <c r="D18" s="9" t="s">
        <v>38</v>
      </c>
      <c r="E18" s="9" t="n">
        <v>36</v>
      </c>
      <c r="F18" s="10" t="n">
        <v>5.13</v>
      </c>
      <c r="G18" s="10" t="n">
        <v>184.52</v>
      </c>
      <c r="H18" s="10" t="n">
        <v>66.29</v>
      </c>
      <c r="I18" s="10" t="n">
        <v>156.98</v>
      </c>
      <c r="J18" s="10" t="n">
        <v>149.99</v>
      </c>
      <c r="K18" s="10" t="n">
        <v>160.98</v>
      </c>
      <c r="L18" s="10" t="n">
        <v>156.17</v>
      </c>
      <c r="M18" s="10"/>
      <c r="N18" s="11" t="n">
        <f aca="false">IF(I18="","",G18/I18)</f>
        <v>1.17543636131991</v>
      </c>
      <c r="O18" s="11" t="n">
        <f aca="false">IF(I18="","",H18/I18)</f>
        <v>0.422283093387693</v>
      </c>
      <c r="P18" s="11" t="str">
        <f aca="false">IF(M18="","",G18/M18)</f>
        <v/>
      </c>
      <c r="Q18" s="12" t="n">
        <v>0.67</v>
      </c>
      <c r="R18" s="12" t="n">
        <v>0.013</v>
      </c>
      <c r="S18" s="10" t="n">
        <v>133.37</v>
      </c>
      <c r="T18" s="10" t="n">
        <v>177.42</v>
      </c>
      <c r="U18" s="10" t="n">
        <v>246.23</v>
      </c>
      <c r="V18" s="13" t="n">
        <v>0.982</v>
      </c>
      <c r="W18" s="9" t="s">
        <v>70</v>
      </c>
    </row>
    <row r="19" customFormat="false" ht="15" hidden="false" customHeight="false" outlineLevel="0" collapsed="false">
      <c r="A19" s="9" t="s">
        <v>71</v>
      </c>
      <c r="B19" s="9" t="s">
        <v>72</v>
      </c>
      <c r="C19" s="9" t="n">
        <v>2019</v>
      </c>
      <c r="D19" s="9" t="s">
        <v>38</v>
      </c>
      <c r="E19" s="9" t="n">
        <v>36</v>
      </c>
      <c r="F19" s="10" t="n">
        <v>5.9</v>
      </c>
      <c r="G19" s="10" t="n">
        <v>212.33</v>
      </c>
      <c r="H19" s="10" t="n">
        <v>71.92</v>
      </c>
      <c r="I19" s="10" t="n">
        <v>180</v>
      </c>
      <c r="J19" s="10" t="n">
        <v>179.98</v>
      </c>
      <c r="K19" s="10" t="n">
        <v>199.95</v>
      </c>
      <c r="L19" s="10" t="n">
        <v>191.33</v>
      </c>
      <c r="M19" s="10"/>
      <c r="N19" s="11" t="n">
        <f aca="false">IF(I19="","",G19/I19)</f>
        <v>1.17961111111111</v>
      </c>
      <c r="O19" s="11" t="n">
        <f aca="false">IF(I19="","",H19/I19)</f>
        <v>0.399555555555556</v>
      </c>
      <c r="P19" s="11" t="str">
        <f aca="false">IF(M19="","",G19/M19)</f>
        <v/>
      </c>
      <c r="Q19" s="12" t="n">
        <v>0.807</v>
      </c>
      <c r="R19" s="12" t="n">
        <v>0.002</v>
      </c>
      <c r="S19" s="10" t="n">
        <v>169.46</v>
      </c>
      <c r="T19" s="10" t="n">
        <v>207.23</v>
      </c>
      <c r="U19" s="10" t="n">
        <v>261.33</v>
      </c>
      <c r="V19" s="13" t="n">
        <v>1</v>
      </c>
      <c r="W19" s="9" t="s">
        <v>73</v>
      </c>
    </row>
    <row r="20" customFormat="false" ht="15" hidden="false" customHeight="false" outlineLevel="0" collapsed="false">
      <c r="A20" s="9" t="s">
        <v>74</v>
      </c>
      <c r="B20" s="9" t="s">
        <v>75</v>
      </c>
      <c r="C20" s="9" t="n">
        <v>2019</v>
      </c>
      <c r="D20" s="9" t="s">
        <v>38</v>
      </c>
      <c r="E20" s="9" t="n">
        <v>36</v>
      </c>
      <c r="F20" s="10" t="n">
        <v>6.06</v>
      </c>
      <c r="G20" s="10" t="n">
        <v>218.16</v>
      </c>
      <c r="H20" s="10" t="n">
        <v>74.04</v>
      </c>
      <c r="I20" s="10" t="n">
        <v>180.5</v>
      </c>
      <c r="J20" s="10" t="n">
        <v>135.96</v>
      </c>
      <c r="K20" s="10" t="n">
        <v>180.5</v>
      </c>
      <c r="L20" s="10" t="n">
        <v>173.41</v>
      </c>
      <c r="M20" s="10"/>
      <c r="N20" s="11" t="n">
        <f aca="false">IF(I20="","",G20/I20)</f>
        <v>1.20864265927978</v>
      </c>
      <c r="O20" s="11" t="n">
        <f aca="false">IF(I20="","",H20/I20)</f>
        <v>0.410193905817175</v>
      </c>
      <c r="P20" s="11" t="str">
        <f aca="false">IF(M20="","",G20/M20)</f>
        <v/>
      </c>
      <c r="Q20" s="12" t="n">
        <v>0.917</v>
      </c>
      <c r="R20" s="12" t="n">
        <v>0</v>
      </c>
      <c r="S20" s="10" t="n">
        <v>182.89</v>
      </c>
      <c r="T20" s="10" t="n">
        <v>215.41</v>
      </c>
      <c r="U20" s="10" t="n">
        <v>258.75</v>
      </c>
      <c r="V20" s="13" t="n">
        <v>1</v>
      </c>
      <c r="W20" s="9" t="s">
        <v>76</v>
      </c>
    </row>
    <row r="21" customFormat="false" ht="15" hidden="false" customHeight="false" outlineLevel="0" collapsed="false">
      <c r="A21" s="9" t="s">
        <v>77</v>
      </c>
      <c r="B21" s="9" t="s">
        <v>78</v>
      </c>
      <c r="C21" s="9" t="n">
        <v>2019</v>
      </c>
      <c r="D21" s="9" t="s">
        <v>38</v>
      </c>
      <c r="E21" s="9" t="n">
        <v>36</v>
      </c>
      <c r="F21" s="10" t="n">
        <v>5.02</v>
      </c>
      <c r="G21" s="10" t="n">
        <v>180.59</v>
      </c>
      <c r="H21" s="10" t="n">
        <v>48.13</v>
      </c>
      <c r="I21" s="10" t="n">
        <v>205.95</v>
      </c>
      <c r="J21" s="10" t="n">
        <v>199.99</v>
      </c>
      <c r="K21" s="10" t="n">
        <v>208.5</v>
      </c>
      <c r="L21" s="10" t="n">
        <v>201.23</v>
      </c>
      <c r="M21" s="10"/>
      <c r="N21" s="11" t="n">
        <f aca="false">IF(I21="","",G21/I21)</f>
        <v>0.876863316338917</v>
      </c>
      <c r="O21" s="11" t="n">
        <f aca="false">IF(I21="","",H21/I21)</f>
        <v>0.233697499393057</v>
      </c>
      <c r="P21" s="11" t="str">
        <f aca="false">IF(M21="","",G21/M21)</f>
        <v/>
      </c>
      <c r="Q21" s="12" t="n">
        <v>0.238</v>
      </c>
      <c r="R21" s="12" t="n">
        <v>0</v>
      </c>
      <c r="S21" s="10" t="n">
        <v>144.22</v>
      </c>
      <c r="T21" s="10" t="n">
        <v>166.71</v>
      </c>
      <c r="U21" s="10" t="n">
        <v>232.14</v>
      </c>
      <c r="V21" s="13" t="n">
        <v>0.877</v>
      </c>
      <c r="W21" s="9" t="s">
        <v>79</v>
      </c>
    </row>
    <row r="22" customFormat="false" ht="15" hidden="false" customHeight="false" outlineLevel="0" collapsed="false">
      <c r="A22" s="9" t="s">
        <v>77</v>
      </c>
      <c r="B22" s="9" t="s">
        <v>80</v>
      </c>
      <c r="C22" s="9" t="n">
        <v>2019</v>
      </c>
      <c r="D22" s="9" t="s">
        <v>81</v>
      </c>
      <c r="E22" s="9" t="n">
        <v>12</v>
      </c>
      <c r="F22" s="10" t="n">
        <v>16.49</v>
      </c>
      <c r="G22" s="10" t="n">
        <v>197.94</v>
      </c>
      <c r="H22" s="10" t="n">
        <v>100.49</v>
      </c>
      <c r="I22" s="10"/>
      <c r="J22" s="10"/>
      <c r="K22" s="10"/>
      <c r="L22" s="10"/>
      <c r="M22" s="10"/>
      <c r="N22" s="11" t="str">
        <f aca="false">IF(I22="","",G22/I22)</f>
        <v/>
      </c>
      <c r="O22" s="11" t="str">
        <f aca="false">IF(I22="","",H22/I22)</f>
        <v/>
      </c>
      <c r="P22" s="11" t="str">
        <f aca="false">IF(M22="","",G22/M22)</f>
        <v/>
      </c>
      <c r="Q22" s="12"/>
      <c r="R22" s="12"/>
      <c r="S22" s="10" t="n">
        <v>134.59</v>
      </c>
      <c r="T22" s="10" t="n">
        <v>181.03</v>
      </c>
      <c r="U22" s="10" t="n">
        <v>289.58</v>
      </c>
      <c r="V22" s="13" t="n">
        <v>0.66</v>
      </c>
      <c r="W22" s="9"/>
    </row>
    <row r="23" customFormat="false" ht="15" hidden="false" customHeight="false" outlineLevel="0" collapsed="false">
      <c r="A23" s="9" t="s">
        <v>82</v>
      </c>
      <c r="B23" s="9" t="s">
        <v>83</v>
      </c>
      <c r="C23" s="9" t="n">
        <v>2020</v>
      </c>
      <c r="D23" s="9" t="s">
        <v>38</v>
      </c>
      <c r="E23" s="9" t="n">
        <v>36</v>
      </c>
      <c r="F23" s="10" t="n">
        <v>6.8</v>
      </c>
      <c r="G23" s="10" t="n">
        <v>244.74</v>
      </c>
      <c r="H23" s="10" t="n">
        <v>95.76</v>
      </c>
      <c r="I23" s="10" t="n">
        <v>180</v>
      </c>
      <c r="J23" s="10" t="n">
        <v>175</v>
      </c>
      <c r="K23" s="10" t="n">
        <v>189.95</v>
      </c>
      <c r="L23" s="10" t="n">
        <v>182.03</v>
      </c>
      <c r="M23" s="10"/>
      <c r="N23" s="11" t="n">
        <f aca="false">IF(I23="","",G23/I23)</f>
        <v>1.35966666666667</v>
      </c>
      <c r="O23" s="11" t="n">
        <f aca="false">IF(I23="","",H23/I23)</f>
        <v>0.532</v>
      </c>
      <c r="P23" s="11" t="str">
        <f aca="false">IF(M23="","",G23/M23)</f>
        <v/>
      </c>
      <c r="Q23" s="12" t="n">
        <v>0.966</v>
      </c>
      <c r="R23" s="12" t="n">
        <v>0.005</v>
      </c>
      <c r="S23" s="10" t="n">
        <v>195.25</v>
      </c>
      <c r="T23" s="10" t="n">
        <v>240.83</v>
      </c>
      <c r="U23" s="10" t="n">
        <v>295.92</v>
      </c>
      <c r="V23" s="13" t="n">
        <v>1</v>
      </c>
      <c r="W23" s="9" t="s">
        <v>84</v>
      </c>
    </row>
    <row r="24" customFormat="false" ht="15" hidden="false" customHeight="false" outlineLevel="0" collapsed="false">
      <c r="A24" s="9" t="s">
        <v>82</v>
      </c>
      <c r="B24" s="9" t="s">
        <v>85</v>
      </c>
      <c r="C24" s="9" t="n">
        <v>2020</v>
      </c>
      <c r="D24" s="9" t="s">
        <v>81</v>
      </c>
      <c r="E24" s="9" t="n">
        <v>12</v>
      </c>
      <c r="F24" s="10" t="n">
        <v>21.19</v>
      </c>
      <c r="G24" s="10" t="n">
        <v>254.24</v>
      </c>
      <c r="H24" s="10" t="n">
        <v>131.16</v>
      </c>
      <c r="I24" s="10"/>
      <c r="J24" s="10"/>
      <c r="K24" s="10"/>
      <c r="L24" s="10"/>
      <c r="M24" s="10"/>
      <c r="N24" s="11" t="str">
        <f aca="false">IF(I24="","",G24/I24)</f>
        <v/>
      </c>
      <c r="O24" s="11" t="str">
        <f aca="false">IF(I24="","",H24/I24)</f>
        <v/>
      </c>
      <c r="P24" s="11" t="str">
        <f aca="false">IF(M24="","",G24/M24)</f>
        <v/>
      </c>
      <c r="Q24" s="12"/>
      <c r="R24" s="12"/>
      <c r="S24" s="10" t="n">
        <v>189.09</v>
      </c>
      <c r="T24" s="10" t="n">
        <v>247.86</v>
      </c>
      <c r="U24" s="10" t="n">
        <v>327.44</v>
      </c>
      <c r="V24" s="13" t="n">
        <v>1</v>
      </c>
      <c r="W24" s="9"/>
    </row>
    <row r="25" customFormat="false" ht="15" hidden="false" customHeight="false" outlineLevel="0" collapsed="false">
      <c r="A25" s="9" t="s">
        <v>86</v>
      </c>
      <c r="B25" s="9" t="s">
        <v>87</v>
      </c>
      <c r="C25" s="9" t="n">
        <v>2020</v>
      </c>
      <c r="D25" s="9" t="s">
        <v>38</v>
      </c>
      <c r="E25" s="9" t="n">
        <v>36</v>
      </c>
      <c r="F25" s="10" t="n">
        <v>7.03</v>
      </c>
      <c r="G25" s="10" t="n">
        <v>252.95</v>
      </c>
      <c r="H25" s="10" t="n">
        <v>91.86</v>
      </c>
      <c r="I25" s="10" t="n">
        <v>241</v>
      </c>
      <c r="J25" s="10" t="n">
        <v>239.99</v>
      </c>
      <c r="K25" s="10" t="n">
        <v>241</v>
      </c>
      <c r="L25" s="10" t="n">
        <v>243.65</v>
      </c>
      <c r="M25" s="10"/>
      <c r="N25" s="11" t="n">
        <f aca="false">IF(I25="","",G25/I25)</f>
        <v>1.04958506224066</v>
      </c>
      <c r="O25" s="11" t="n">
        <f aca="false">IF(I25="","",H25/I25)</f>
        <v>0.381161825726141</v>
      </c>
      <c r="P25" s="11" t="str">
        <f aca="false">IF(M25="","",G25/M25)</f>
        <v/>
      </c>
      <c r="Q25" s="12" t="n">
        <v>0.536</v>
      </c>
      <c r="R25" s="12" t="n">
        <v>0.002</v>
      </c>
      <c r="S25" s="10" t="n">
        <v>185.25</v>
      </c>
      <c r="T25" s="10" t="n">
        <v>245.72</v>
      </c>
      <c r="U25" s="10" t="n">
        <v>331.23</v>
      </c>
      <c r="V25" s="13" t="n">
        <v>1</v>
      </c>
      <c r="W25" s="9" t="s">
        <v>88</v>
      </c>
    </row>
    <row r="26" customFormat="false" ht="15" hidden="false" customHeight="false" outlineLevel="0" collapsed="false">
      <c r="A26" s="9" t="s">
        <v>86</v>
      </c>
      <c r="B26" s="9" t="s">
        <v>89</v>
      </c>
      <c r="C26" s="9" t="n">
        <v>2020</v>
      </c>
      <c r="D26" s="9" t="s">
        <v>81</v>
      </c>
      <c r="E26" s="9" t="n">
        <v>12</v>
      </c>
      <c r="F26" s="10" t="n">
        <v>42.29</v>
      </c>
      <c r="G26" s="10" t="n">
        <v>507.5</v>
      </c>
      <c r="H26" s="10" t="n">
        <v>314.01</v>
      </c>
      <c r="I26" s="10" t="n">
        <v>697</v>
      </c>
      <c r="J26" s="10" t="n">
        <v>685.99</v>
      </c>
      <c r="K26" s="10" t="n">
        <v>709</v>
      </c>
      <c r="L26" s="10" t="n">
        <v>679.16</v>
      </c>
      <c r="M26" s="10"/>
      <c r="N26" s="11" t="n">
        <f aca="false">IF(I26="","",G26/I26)</f>
        <v>0.728120516499283</v>
      </c>
      <c r="O26" s="11" t="n">
        <f aca="false">IF(I26="","",H26/I26)</f>
        <v>0.45051649928264</v>
      </c>
      <c r="P26" s="11" t="str">
        <f aca="false">IF(M26="","",G26/M26)</f>
        <v/>
      </c>
      <c r="Q26" s="12" t="n">
        <v>0.06</v>
      </c>
      <c r="R26" s="12" t="n">
        <v>0</v>
      </c>
      <c r="S26" s="10" t="n">
        <v>374.13</v>
      </c>
      <c r="T26" s="10" t="n">
        <v>498.8</v>
      </c>
      <c r="U26" s="10" t="n">
        <v>653.19</v>
      </c>
      <c r="V26" s="13" t="n">
        <v>1</v>
      </c>
      <c r="W26" s="9" t="s">
        <v>90</v>
      </c>
    </row>
    <row r="27" customFormat="false" ht="15" hidden="false" customHeight="false" outlineLevel="0" collapsed="false">
      <c r="A27" s="9" t="s">
        <v>91</v>
      </c>
      <c r="B27" s="9" t="s">
        <v>92</v>
      </c>
      <c r="C27" s="9" t="n">
        <v>2020</v>
      </c>
      <c r="D27" s="9" t="s">
        <v>38</v>
      </c>
      <c r="E27" s="9" t="n">
        <v>36</v>
      </c>
      <c r="F27" s="10" t="n">
        <v>5.97</v>
      </c>
      <c r="G27" s="10" t="n">
        <v>214.99</v>
      </c>
      <c r="H27" s="10" t="n">
        <v>64.68</v>
      </c>
      <c r="I27" s="10" t="n">
        <v>182.5</v>
      </c>
      <c r="J27" s="10" t="n">
        <v>182.5</v>
      </c>
      <c r="K27" s="10" t="n">
        <v>188.88</v>
      </c>
      <c r="L27" s="10" t="n">
        <v>182.93</v>
      </c>
      <c r="M27" s="10"/>
      <c r="N27" s="11" t="n">
        <f aca="false">IF(I27="","",G27/I27)</f>
        <v>1.17802739726027</v>
      </c>
      <c r="O27" s="11" t="n">
        <f aca="false">IF(I27="","",H27/I27)</f>
        <v>0.35441095890411</v>
      </c>
      <c r="P27" s="11" t="str">
        <f aca="false">IF(M27="","",G27/M27)</f>
        <v/>
      </c>
      <c r="Q27" s="12" t="n">
        <v>0.807</v>
      </c>
      <c r="R27" s="12" t="n">
        <v>0</v>
      </c>
      <c r="S27" s="10" t="n">
        <v>171.65</v>
      </c>
      <c r="T27" s="10" t="n">
        <v>212.11</v>
      </c>
      <c r="U27" s="10" t="n">
        <v>263.38</v>
      </c>
      <c r="V27" s="13" t="n">
        <v>1</v>
      </c>
      <c r="W27" s="9" t="s">
        <v>93</v>
      </c>
    </row>
    <row r="28" customFormat="false" ht="15" hidden="false" customHeight="false" outlineLevel="0" collapsed="false">
      <c r="A28" s="9" t="s">
        <v>91</v>
      </c>
      <c r="B28" s="9" t="s">
        <v>94</v>
      </c>
      <c r="C28" s="9" t="n">
        <v>2020</v>
      </c>
      <c r="D28" s="9" t="s">
        <v>81</v>
      </c>
      <c r="E28" s="9" t="n">
        <v>12</v>
      </c>
      <c r="F28" s="10" t="n">
        <v>24.69</v>
      </c>
      <c r="G28" s="10" t="n">
        <v>296.27</v>
      </c>
      <c r="H28" s="10" t="n">
        <v>163.85</v>
      </c>
      <c r="I28" s="10" t="n">
        <v>502</v>
      </c>
      <c r="J28" s="10" t="n">
        <v>498.5</v>
      </c>
      <c r="K28" s="10" t="n">
        <v>504.98</v>
      </c>
      <c r="L28" s="10" t="n">
        <v>505.3</v>
      </c>
      <c r="M28" s="10"/>
      <c r="N28" s="11" t="n">
        <f aca="false">IF(I28="","",G28/I28)</f>
        <v>0.590179282868526</v>
      </c>
      <c r="O28" s="11" t="n">
        <f aca="false">IF(I28="","",H28/I28)</f>
        <v>0.326394422310757</v>
      </c>
      <c r="P28" s="11" t="str">
        <f aca="false">IF(M28="","",G28/M28)</f>
        <v/>
      </c>
      <c r="Q28" s="12" t="n">
        <v>0.002</v>
      </c>
      <c r="R28" s="12" t="n">
        <v>0</v>
      </c>
      <c r="S28" s="10" t="n">
        <v>227.4</v>
      </c>
      <c r="T28" s="10" t="n">
        <v>290.09</v>
      </c>
      <c r="U28" s="10" t="n">
        <v>373.28</v>
      </c>
      <c r="V28" s="13" t="n">
        <v>1</v>
      </c>
      <c r="W28" s="9" t="s">
        <v>95</v>
      </c>
    </row>
    <row r="29" customFormat="false" ht="15" hidden="false" customHeight="false" outlineLevel="0" collapsed="false">
      <c r="A29" s="9" t="s">
        <v>96</v>
      </c>
      <c r="B29" s="9" t="s">
        <v>97</v>
      </c>
      <c r="C29" s="9" t="n">
        <v>2020</v>
      </c>
      <c r="D29" s="9" t="s">
        <v>38</v>
      </c>
      <c r="E29" s="9" t="n">
        <v>36</v>
      </c>
      <c r="F29" s="10" t="n">
        <v>3.64</v>
      </c>
      <c r="G29" s="10" t="n">
        <v>131.01</v>
      </c>
      <c r="H29" s="10" t="n">
        <v>26.23</v>
      </c>
      <c r="I29" s="10" t="n">
        <v>179.99</v>
      </c>
      <c r="J29" s="10" t="n">
        <v>174.99</v>
      </c>
      <c r="K29" s="10" t="n">
        <v>184</v>
      </c>
      <c r="L29" s="10" t="n">
        <v>172.04</v>
      </c>
      <c r="M29" s="10"/>
      <c r="N29" s="11" t="n">
        <f aca="false">IF(I29="","",G29/I29)</f>
        <v>0.727873770765042</v>
      </c>
      <c r="O29" s="11" t="n">
        <f aca="false">IF(I29="","",H29/I29)</f>
        <v>0.14573031835102</v>
      </c>
      <c r="P29" s="11" t="str">
        <f aca="false">IF(M29="","",G29/M29)</f>
        <v/>
      </c>
      <c r="Q29" s="12" t="n">
        <v>0.004</v>
      </c>
      <c r="R29" s="12" t="n">
        <v>0</v>
      </c>
      <c r="S29" s="10" t="n">
        <v>111.37</v>
      </c>
      <c r="T29" s="10" t="n">
        <v>129.7</v>
      </c>
      <c r="U29" s="10" t="n">
        <v>151.76</v>
      </c>
      <c r="V29" s="13" t="n">
        <v>0.931</v>
      </c>
      <c r="W29" s="9" t="s">
        <v>98</v>
      </c>
    </row>
    <row r="30" customFormat="false" ht="15" hidden="false" customHeight="false" outlineLevel="0" collapsed="false">
      <c r="A30" s="9" t="s">
        <v>96</v>
      </c>
      <c r="B30" s="9" t="s">
        <v>99</v>
      </c>
      <c r="C30" s="9" t="n">
        <v>2020</v>
      </c>
      <c r="D30" s="9" t="s">
        <v>100</v>
      </c>
      <c r="E30" s="9" t="n">
        <v>30</v>
      </c>
      <c r="F30" s="10" t="n">
        <v>4.84</v>
      </c>
      <c r="G30" s="10" t="n">
        <v>145.33</v>
      </c>
      <c r="H30" s="10" t="n">
        <v>52.39</v>
      </c>
      <c r="I30" s="10" t="n">
        <v>185</v>
      </c>
      <c r="J30" s="10" t="n">
        <v>179</v>
      </c>
      <c r="K30" s="10" t="n">
        <v>186.99</v>
      </c>
      <c r="L30" s="10" t="n">
        <v>191.35</v>
      </c>
      <c r="M30" s="10"/>
      <c r="N30" s="11" t="n">
        <f aca="false">IF(I30="","",G30/I30)</f>
        <v>0.785567567567568</v>
      </c>
      <c r="O30" s="11" t="n">
        <f aca="false">IF(I30="","",H30/I30)</f>
        <v>0.283189189189189</v>
      </c>
      <c r="P30" s="11" t="str">
        <f aca="false">IF(M30="","",G30/M30)</f>
        <v/>
      </c>
      <c r="Q30" s="12" t="n">
        <v>0.108</v>
      </c>
      <c r="R30" s="12" t="n">
        <v>0</v>
      </c>
      <c r="S30" s="10" t="n">
        <v>111.24</v>
      </c>
      <c r="T30" s="10" t="n">
        <v>141.48</v>
      </c>
      <c r="U30" s="10" t="n">
        <v>187.14</v>
      </c>
      <c r="V30" s="13" t="n">
        <v>0.887</v>
      </c>
      <c r="W30" s="9" t="s">
        <v>101</v>
      </c>
    </row>
    <row r="31" customFormat="false" ht="15" hidden="false" customHeight="false" outlineLevel="0" collapsed="false">
      <c r="A31" s="9" t="s">
        <v>96</v>
      </c>
      <c r="B31" s="9" t="s">
        <v>102</v>
      </c>
      <c r="C31" s="9" t="n">
        <v>2020</v>
      </c>
      <c r="D31" s="9" t="s">
        <v>81</v>
      </c>
      <c r="E31" s="9" t="n">
        <v>12</v>
      </c>
      <c r="F31" s="10" t="n">
        <v>18.37</v>
      </c>
      <c r="G31" s="10" t="n">
        <v>220.44</v>
      </c>
      <c r="H31" s="10" t="n">
        <v>120.98</v>
      </c>
      <c r="I31" s="10" t="n">
        <v>479.98</v>
      </c>
      <c r="J31" s="10" t="n">
        <v>478.98</v>
      </c>
      <c r="K31" s="10" t="n">
        <v>479.99</v>
      </c>
      <c r="L31" s="10" t="n">
        <v>476.29</v>
      </c>
      <c r="M31" s="10"/>
      <c r="N31" s="11" t="n">
        <f aca="false">IF(I31="","",G31/I31)</f>
        <v>0.459269136214009</v>
      </c>
      <c r="O31" s="11" t="n">
        <f aca="false">IF(I31="","",H31/I31)</f>
        <v>0.252052168840368</v>
      </c>
      <c r="P31" s="11" t="str">
        <f aca="false">IF(M31="","",G31/M31)</f>
        <v/>
      </c>
      <c r="Q31" s="12" t="n">
        <v>0.01</v>
      </c>
      <c r="R31" s="12" t="n">
        <v>0</v>
      </c>
      <c r="S31" s="10" t="n">
        <v>121.09</v>
      </c>
      <c r="T31" s="10" t="n">
        <v>203.45</v>
      </c>
      <c r="U31" s="10" t="n">
        <v>338.49</v>
      </c>
      <c r="V31" s="13" t="n">
        <v>0.905</v>
      </c>
      <c r="W31" s="9" t="s">
        <v>103</v>
      </c>
    </row>
    <row r="32" customFormat="false" ht="15" hidden="false" customHeight="false" outlineLevel="0" collapsed="false">
      <c r="A32" s="9" t="s">
        <v>104</v>
      </c>
      <c r="B32" s="9" t="s">
        <v>105</v>
      </c>
      <c r="C32" s="9" t="n">
        <v>2021</v>
      </c>
      <c r="D32" s="9" t="s">
        <v>38</v>
      </c>
      <c r="E32" s="9" t="n">
        <v>36</v>
      </c>
      <c r="F32" s="10" t="n">
        <v>5.5</v>
      </c>
      <c r="G32" s="10" t="n">
        <v>198.04</v>
      </c>
      <c r="H32" s="10" t="n">
        <v>47.07</v>
      </c>
      <c r="I32" s="10" t="n">
        <v>199.99</v>
      </c>
      <c r="J32" s="10" t="n">
        <v>185</v>
      </c>
      <c r="K32" s="10" t="n">
        <v>209.9</v>
      </c>
      <c r="L32" s="10" t="n">
        <v>189.78</v>
      </c>
      <c r="M32" s="10"/>
      <c r="N32" s="11" t="n">
        <f aca="false">IF(I32="","",G32/I32)</f>
        <v>0.990249512475624</v>
      </c>
      <c r="O32" s="11" t="n">
        <f aca="false">IF(I32="","",H32/I32)</f>
        <v>0.235361768088404</v>
      </c>
      <c r="P32" s="11" t="str">
        <f aca="false">IF(M32="","",G32/M32)</f>
        <v/>
      </c>
      <c r="Q32" s="12" t="n">
        <v>0.366</v>
      </c>
      <c r="R32" s="12" t="n">
        <v>0</v>
      </c>
      <c r="S32" s="10" t="n">
        <v>168.36</v>
      </c>
      <c r="T32" s="10" t="n">
        <v>191.18</v>
      </c>
      <c r="U32" s="10" t="n">
        <v>240.81</v>
      </c>
      <c r="V32" s="13" t="n">
        <v>0.987</v>
      </c>
      <c r="W32" s="9" t="s">
        <v>106</v>
      </c>
    </row>
    <row r="33" customFormat="false" ht="15" hidden="false" customHeight="false" outlineLevel="0" collapsed="false">
      <c r="A33" s="9" t="s">
        <v>104</v>
      </c>
      <c r="B33" s="9" t="s">
        <v>107</v>
      </c>
      <c r="C33" s="9" t="n">
        <v>2021</v>
      </c>
      <c r="D33" s="9" t="s">
        <v>100</v>
      </c>
      <c r="E33" s="9" t="n">
        <v>30</v>
      </c>
      <c r="F33" s="10" t="n">
        <v>6.95</v>
      </c>
      <c r="G33" s="10" t="n">
        <v>208.62</v>
      </c>
      <c r="H33" s="10" t="n">
        <v>73.08</v>
      </c>
      <c r="I33" s="10" t="n">
        <v>235</v>
      </c>
      <c r="J33" s="10" t="n">
        <v>235</v>
      </c>
      <c r="K33" s="10" t="n">
        <v>260</v>
      </c>
      <c r="L33" s="10" t="n">
        <v>257.03</v>
      </c>
      <c r="M33" s="10"/>
      <c r="N33" s="11" t="n">
        <f aca="false">IF(I33="","",G33/I33)</f>
        <v>0.887744680851064</v>
      </c>
      <c r="O33" s="11" t="n">
        <f aca="false">IF(I33="","",H33/I33)</f>
        <v>0.310978723404255</v>
      </c>
      <c r="P33" s="11" t="str">
        <f aca="false">IF(M33="","",G33/M33)</f>
        <v/>
      </c>
      <c r="Q33" s="12" t="n">
        <v>0.224</v>
      </c>
      <c r="R33" s="12" t="n">
        <v>0</v>
      </c>
      <c r="S33" s="10" t="n">
        <v>161.52</v>
      </c>
      <c r="T33" s="10" t="n">
        <v>201.85</v>
      </c>
      <c r="U33" s="10" t="n">
        <v>262.5</v>
      </c>
      <c r="V33" s="13" t="n">
        <v>0.981</v>
      </c>
      <c r="W33" s="9" t="s">
        <v>108</v>
      </c>
    </row>
    <row r="34" customFormat="false" ht="15" hidden="false" customHeight="false" outlineLevel="0" collapsed="false">
      <c r="A34" s="9" t="s">
        <v>104</v>
      </c>
      <c r="B34" s="9" t="s">
        <v>109</v>
      </c>
      <c r="C34" s="9" t="n">
        <v>2021</v>
      </c>
      <c r="D34" s="9" t="s">
        <v>81</v>
      </c>
      <c r="E34" s="9" t="n">
        <v>12</v>
      </c>
      <c r="F34" s="10" t="n">
        <v>17.74</v>
      </c>
      <c r="G34" s="10" t="n">
        <v>212.89</v>
      </c>
      <c r="H34" s="10" t="n">
        <v>104.8</v>
      </c>
      <c r="I34" s="10" t="n">
        <v>409.99</v>
      </c>
      <c r="J34" s="10" t="n">
        <v>399.99</v>
      </c>
      <c r="K34" s="10" t="n">
        <v>418.99</v>
      </c>
      <c r="L34" s="10" t="n">
        <v>405.4</v>
      </c>
      <c r="M34" s="10"/>
      <c r="N34" s="11" t="n">
        <f aca="false">IF(I34="","",G34/I34)</f>
        <v>0.519256567233347</v>
      </c>
      <c r="O34" s="11" t="n">
        <f aca="false">IF(I34="","",H34/I34)</f>
        <v>0.255615990633918</v>
      </c>
      <c r="P34" s="11" t="str">
        <f aca="false">IF(M34="","",G34/M34)</f>
        <v/>
      </c>
      <c r="Q34" s="12" t="n">
        <v>0.001</v>
      </c>
      <c r="R34" s="12" t="n">
        <v>0</v>
      </c>
      <c r="S34" s="10" t="n">
        <v>162.07</v>
      </c>
      <c r="T34" s="10" t="n">
        <v>206.52</v>
      </c>
      <c r="U34" s="10" t="n">
        <v>272.93</v>
      </c>
      <c r="V34" s="13" t="n">
        <v>0.939</v>
      </c>
      <c r="W34" s="9" t="s">
        <v>110</v>
      </c>
    </row>
    <row r="35" customFormat="false" ht="15" hidden="false" customHeight="false" outlineLevel="0" collapsed="false">
      <c r="A35" s="9" t="s">
        <v>111</v>
      </c>
      <c r="B35" s="9" t="s">
        <v>112</v>
      </c>
      <c r="C35" s="9" t="n">
        <v>2021</v>
      </c>
      <c r="D35" s="9" t="s">
        <v>38</v>
      </c>
      <c r="E35" s="9" t="n">
        <v>36</v>
      </c>
      <c r="F35" s="10" t="n">
        <v>5.62</v>
      </c>
      <c r="G35" s="10" t="n">
        <v>202.42</v>
      </c>
      <c r="H35" s="10" t="n">
        <v>63.15</v>
      </c>
      <c r="I35" s="10" t="n">
        <v>188.99</v>
      </c>
      <c r="J35" s="10" t="n">
        <v>170</v>
      </c>
      <c r="K35" s="10" t="n">
        <v>189.99</v>
      </c>
      <c r="L35" s="10" t="n">
        <v>188.78</v>
      </c>
      <c r="M35" s="10"/>
      <c r="N35" s="11" t="n">
        <f aca="false">IF(I35="","",G35/I35)</f>
        <v>1.07106196095031</v>
      </c>
      <c r="O35" s="11" t="n">
        <f aca="false">IF(I35="","",H35/I35)</f>
        <v>0.334144663738822</v>
      </c>
      <c r="P35" s="11" t="str">
        <f aca="false">IF(M35="","",G35/M35)</f>
        <v/>
      </c>
      <c r="Q35" s="12" t="n">
        <v>0.506</v>
      </c>
      <c r="R35" s="12" t="n">
        <v>0.004</v>
      </c>
      <c r="S35" s="10" t="n">
        <v>155.01</v>
      </c>
      <c r="T35" s="10" t="n">
        <v>189.72</v>
      </c>
      <c r="U35" s="10" t="n">
        <v>262.27</v>
      </c>
      <c r="V35" s="13" t="n">
        <v>0.987</v>
      </c>
      <c r="W35" s="9" t="s">
        <v>113</v>
      </c>
    </row>
    <row r="36" customFormat="false" ht="15" hidden="false" customHeight="false" outlineLevel="0" collapsed="false">
      <c r="A36" s="9" t="s">
        <v>111</v>
      </c>
      <c r="B36" s="9" t="s">
        <v>114</v>
      </c>
      <c r="C36" s="9" t="n">
        <v>2021</v>
      </c>
      <c r="D36" s="9" t="s">
        <v>100</v>
      </c>
      <c r="E36" s="9" t="n">
        <v>30</v>
      </c>
      <c r="F36" s="10" t="n">
        <v>6.63</v>
      </c>
      <c r="G36" s="10" t="n">
        <v>198.84</v>
      </c>
      <c r="H36" s="10" t="n">
        <v>81.47</v>
      </c>
      <c r="I36" s="10" t="n">
        <v>186</v>
      </c>
      <c r="J36" s="10" t="n">
        <v>179.99</v>
      </c>
      <c r="K36" s="10" t="n">
        <v>198.98</v>
      </c>
      <c r="L36" s="10" t="n">
        <v>192.9</v>
      </c>
      <c r="M36" s="10"/>
      <c r="N36" s="11" t="n">
        <f aca="false">IF(I36="","",G36/I36)</f>
        <v>1.06903225806452</v>
      </c>
      <c r="O36" s="11" t="n">
        <f aca="false">IF(I36="","",H36/I36)</f>
        <v>0.438010752688172</v>
      </c>
      <c r="P36" s="11" t="str">
        <f aca="false">IF(M36="","",G36/M36)</f>
        <v/>
      </c>
      <c r="Q36" s="12" t="n">
        <v>0.513</v>
      </c>
      <c r="R36" s="12" t="n">
        <v>0.018</v>
      </c>
      <c r="S36" s="10" t="n">
        <v>140.13</v>
      </c>
      <c r="T36" s="10" t="n">
        <v>188.23</v>
      </c>
      <c r="U36" s="10" t="n">
        <v>274.01</v>
      </c>
      <c r="V36" s="13" t="n">
        <v>0.983</v>
      </c>
      <c r="W36" s="9" t="s">
        <v>115</v>
      </c>
    </row>
    <row r="37" customFormat="false" ht="15" hidden="false" customHeight="false" outlineLevel="0" collapsed="false">
      <c r="A37" s="9" t="s">
        <v>111</v>
      </c>
      <c r="B37" s="9" t="s">
        <v>116</v>
      </c>
      <c r="C37" s="9" t="n">
        <v>2021</v>
      </c>
      <c r="D37" s="9" t="s">
        <v>81</v>
      </c>
      <c r="E37" s="9" t="n">
        <v>12</v>
      </c>
      <c r="F37" s="10" t="n">
        <v>35.52</v>
      </c>
      <c r="G37" s="10" t="n">
        <v>426.23</v>
      </c>
      <c r="H37" s="10" t="n">
        <v>253.8</v>
      </c>
      <c r="I37" s="10" t="n">
        <v>629.9</v>
      </c>
      <c r="J37" s="10" t="n">
        <v>600</v>
      </c>
      <c r="K37" s="10" t="n">
        <v>644.44</v>
      </c>
      <c r="L37" s="10" t="n">
        <v>629.28</v>
      </c>
      <c r="M37" s="10"/>
      <c r="N37" s="11" t="n">
        <f aca="false">IF(I37="","",G37/I37)</f>
        <v>0.67666296237498</v>
      </c>
      <c r="O37" s="11" t="n">
        <f aca="false">IF(I37="","",H37/I37)</f>
        <v>0.402921098587077</v>
      </c>
      <c r="P37" s="11" t="str">
        <f aca="false">IF(M37="","",G37/M37)</f>
        <v/>
      </c>
      <c r="Q37" s="12" t="n">
        <v>0.088</v>
      </c>
      <c r="R37" s="12" t="n">
        <v>0.012</v>
      </c>
      <c r="S37" s="10" t="n">
        <v>284.25</v>
      </c>
      <c r="T37" s="10" t="n">
        <v>386.45</v>
      </c>
      <c r="U37" s="10" t="n">
        <v>609.03</v>
      </c>
      <c r="V37" s="13" t="n">
        <v>0.971</v>
      </c>
      <c r="W37" s="9" t="s">
        <v>117</v>
      </c>
    </row>
    <row r="38" customFormat="false" ht="15" hidden="false" customHeight="false" outlineLevel="0" collapsed="false">
      <c r="A38" s="9" t="s">
        <v>118</v>
      </c>
      <c r="B38" s="9" t="s">
        <v>119</v>
      </c>
      <c r="C38" s="9" t="n">
        <v>2021</v>
      </c>
      <c r="D38" s="9" t="s">
        <v>38</v>
      </c>
      <c r="E38" s="9" t="n">
        <v>36</v>
      </c>
      <c r="F38" s="10" t="n">
        <v>6.22</v>
      </c>
      <c r="G38" s="10" t="n">
        <v>224.08</v>
      </c>
      <c r="H38" s="10" t="n">
        <v>63.48</v>
      </c>
      <c r="I38" s="10" t="n">
        <v>255</v>
      </c>
      <c r="J38" s="10" t="n">
        <v>249</v>
      </c>
      <c r="K38" s="10" t="n">
        <v>265.68</v>
      </c>
      <c r="L38" s="10" t="n">
        <v>250.77</v>
      </c>
      <c r="M38" s="10"/>
      <c r="N38" s="11" t="n">
        <f aca="false">IF(I38="","",G38/I38)</f>
        <v>0.878745098039216</v>
      </c>
      <c r="O38" s="11" t="n">
        <f aca="false">IF(I38="","",H38/I38)</f>
        <v>0.248941176470588</v>
      </c>
      <c r="P38" s="11" t="str">
        <f aca="false">IF(M38="","",G38/M38)</f>
        <v/>
      </c>
      <c r="Q38" s="12" t="n">
        <v>0.189</v>
      </c>
      <c r="R38" s="12" t="n">
        <v>0</v>
      </c>
      <c r="S38" s="10" t="n">
        <v>182.5</v>
      </c>
      <c r="T38" s="10" t="n">
        <v>216.54</v>
      </c>
      <c r="U38" s="10" t="n">
        <v>275</v>
      </c>
      <c r="V38" s="13" t="n">
        <v>1</v>
      </c>
      <c r="W38" s="9" t="s">
        <v>120</v>
      </c>
    </row>
    <row r="39" customFormat="false" ht="15" hidden="false" customHeight="false" outlineLevel="0" collapsed="false">
      <c r="A39" s="9" t="s">
        <v>118</v>
      </c>
      <c r="B39" s="9" t="s">
        <v>121</v>
      </c>
      <c r="C39" s="9" t="n">
        <v>2021</v>
      </c>
      <c r="D39" s="9" t="s">
        <v>100</v>
      </c>
      <c r="E39" s="9" t="n">
        <v>30</v>
      </c>
      <c r="F39" s="10" t="n">
        <v>7.21</v>
      </c>
      <c r="G39" s="10" t="n">
        <v>216.3</v>
      </c>
      <c r="H39" s="10" t="n">
        <v>84.76</v>
      </c>
      <c r="I39" s="10" t="n">
        <v>305</v>
      </c>
      <c r="J39" s="10" t="n">
        <v>305</v>
      </c>
      <c r="K39" s="10" t="n">
        <v>310.99</v>
      </c>
      <c r="L39" s="10" t="n">
        <v>306.83</v>
      </c>
      <c r="M39" s="10"/>
      <c r="N39" s="11" t="n">
        <f aca="false">IF(I39="","",G39/I39)</f>
        <v>0.709180327868853</v>
      </c>
      <c r="O39" s="11" t="n">
        <f aca="false">IF(I39="","",H39/I39)</f>
        <v>0.277901639344262</v>
      </c>
      <c r="P39" s="11" t="str">
        <f aca="false">IF(M39="","",G39/M39)</f>
        <v/>
      </c>
      <c r="Q39" s="12" t="n">
        <v>0.047</v>
      </c>
      <c r="R39" s="12" t="n">
        <v>0</v>
      </c>
      <c r="S39" s="10" t="n">
        <v>162.26</v>
      </c>
      <c r="T39" s="10" t="n">
        <v>209.42</v>
      </c>
      <c r="U39" s="10" t="n">
        <v>282.13</v>
      </c>
      <c r="V39" s="13" t="n">
        <v>1</v>
      </c>
      <c r="W39" s="9" t="s">
        <v>122</v>
      </c>
    </row>
    <row r="40" customFormat="false" ht="15" hidden="false" customHeight="false" outlineLevel="0" collapsed="false">
      <c r="A40" s="9" t="s">
        <v>118</v>
      </c>
      <c r="B40" s="9" t="s">
        <v>123</v>
      </c>
      <c r="C40" s="9" t="n">
        <v>2021</v>
      </c>
      <c r="D40" s="9" t="s">
        <v>81</v>
      </c>
      <c r="E40" s="9" t="n">
        <v>12</v>
      </c>
      <c r="F40" s="10" t="n">
        <v>20.93</v>
      </c>
      <c r="G40" s="10" t="n">
        <v>251.1</v>
      </c>
      <c r="H40" s="10" t="n">
        <v>132.87</v>
      </c>
      <c r="I40" s="10" t="n">
        <v>404.01</v>
      </c>
      <c r="J40" s="10" t="n">
        <v>398.88</v>
      </c>
      <c r="K40" s="10" t="n">
        <v>409</v>
      </c>
      <c r="L40" s="10" t="n">
        <v>404.02</v>
      </c>
      <c r="M40" s="10"/>
      <c r="N40" s="11" t="n">
        <f aca="false">IF(I40="","",G40/I40)</f>
        <v>0.621519269325017</v>
      </c>
      <c r="O40" s="11" t="n">
        <f aca="false">IF(I40="","",H40/I40)</f>
        <v>0.328877998069355</v>
      </c>
      <c r="P40" s="11" t="str">
        <f aca="false">IF(M40="","",G40/M40)</f>
        <v/>
      </c>
      <c r="Q40" s="12" t="n">
        <v>0.018</v>
      </c>
      <c r="R40" s="12" t="n">
        <v>0</v>
      </c>
      <c r="S40" s="10" t="n">
        <v>185.38</v>
      </c>
      <c r="T40" s="10" t="n">
        <v>240.7</v>
      </c>
      <c r="U40" s="10" t="n">
        <v>332.13</v>
      </c>
      <c r="V40" s="13" t="n">
        <v>1</v>
      </c>
      <c r="W40" s="9" t="s">
        <v>124</v>
      </c>
    </row>
    <row r="41" customFormat="false" ht="15" hidden="false" customHeight="false" outlineLevel="0" collapsed="false">
      <c r="A41" s="9" t="s">
        <v>125</v>
      </c>
      <c r="B41" s="9" t="s">
        <v>126</v>
      </c>
      <c r="C41" s="9" t="n">
        <v>2021</v>
      </c>
      <c r="D41" s="9" t="s">
        <v>38</v>
      </c>
      <c r="E41" s="9" t="n">
        <v>36</v>
      </c>
      <c r="F41" s="10" t="n">
        <v>4.21</v>
      </c>
      <c r="G41" s="10" t="n">
        <v>151.48</v>
      </c>
      <c r="H41" s="10" t="n">
        <v>26.89</v>
      </c>
      <c r="I41" s="10" t="n">
        <v>160</v>
      </c>
      <c r="J41" s="10" t="n">
        <v>155</v>
      </c>
      <c r="K41" s="10" t="n">
        <v>169.9</v>
      </c>
      <c r="L41" s="10" t="n">
        <v>155.01</v>
      </c>
      <c r="M41" s="10"/>
      <c r="N41" s="11" t="n">
        <f aca="false">IF(I41="","",G41/I41)</f>
        <v>0.94675</v>
      </c>
      <c r="O41" s="11" t="n">
        <f aca="false">IF(I41="","",H41/I41)</f>
        <v>0.1680625</v>
      </c>
      <c r="P41" s="11" t="str">
        <f aca="false">IF(M41="","",G41/M41)</f>
        <v/>
      </c>
      <c r="Q41" s="12" t="n">
        <v>0.252</v>
      </c>
      <c r="R41" s="12" t="n">
        <v>0</v>
      </c>
      <c r="S41" s="10" t="n">
        <v>133.46</v>
      </c>
      <c r="T41" s="10" t="n">
        <v>148.4</v>
      </c>
      <c r="U41" s="10" t="n">
        <v>172.66</v>
      </c>
      <c r="V41" s="13" t="n">
        <v>0.863</v>
      </c>
      <c r="W41" s="9" t="s">
        <v>127</v>
      </c>
    </row>
    <row r="42" customFormat="false" ht="15" hidden="false" customHeight="false" outlineLevel="0" collapsed="false">
      <c r="A42" s="9" t="s">
        <v>125</v>
      </c>
      <c r="B42" s="9" t="s">
        <v>128</v>
      </c>
      <c r="C42" s="9" t="n">
        <v>2021</v>
      </c>
      <c r="D42" s="9" t="s">
        <v>100</v>
      </c>
      <c r="E42" s="9" t="n">
        <v>30</v>
      </c>
      <c r="F42" s="10" t="n">
        <v>5.53</v>
      </c>
      <c r="G42" s="10" t="n">
        <v>165.93</v>
      </c>
      <c r="H42" s="10" t="n">
        <v>56.99</v>
      </c>
      <c r="I42" s="10" t="n">
        <v>198.49</v>
      </c>
      <c r="J42" s="10" t="n">
        <v>198.49</v>
      </c>
      <c r="K42" s="10" t="n">
        <v>202.99</v>
      </c>
      <c r="L42" s="10" t="n">
        <v>189.47</v>
      </c>
      <c r="M42" s="10"/>
      <c r="N42" s="11" t="n">
        <f aca="false">IF(I42="","",G42/I42)</f>
        <v>0.835961509395939</v>
      </c>
      <c r="O42" s="11" t="n">
        <f aca="false">IF(I42="","",H42/I42)</f>
        <v>0.287117738928913</v>
      </c>
      <c r="P42" s="11" t="str">
        <f aca="false">IF(M42="","",G42/M42)</f>
        <v/>
      </c>
      <c r="Q42" s="12" t="n">
        <v>0.16</v>
      </c>
      <c r="R42" s="12" t="n">
        <v>0.001</v>
      </c>
      <c r="S42" s="10" t="n">
        <v>127.92</v>
      </c>
      <c r="T42" s="10" t="n">
        <v>158.42</v>
      </c>
      <c r="U42" s="10" t="n">
        <v>215.99</v>
      </c>
      <c r="V42" s="13" t="n">
        <v>0.798</v>
      </c>
      <c r="W42" s="9" t="s">
        <v>129</v>
      </c>
    </row>
    <row r="43" customFormat="false" ht="15" hidden="false" customHeight="false" outlineLevel="0" collapsed="false">
      <c r="A43" s="9" t="s">
        <v>125</v>
      </c>
      <c r="B43" s="9" t="s">
        <v>130</v>
      </c>
      <c r="C43" s="9" t="n">
        <v>2021</v>
      </c>
      <c r="D43" s="9" t="s">
        <v>81</v>
      </c>
      <c r="E43" s="9" t="n">
        <v>12</v>
      </c>
      <c r="F43" s="10" t="n">
        <v>11.5</v>
      </c>
      <c r="G43" s="10" t="n">
        <v>137.99</v>
      </c>
      <c r="H43" s="10" t="n">
        <v>58.16</v>
      </c>
      <c r="I43" s="10" t="n">
        <v>268</v>
      </c>
      <c r="J43" s="10" t="n">
        <v>249.98</v>
      </c>
      <c r="K43" s="10" t="n">
        <v>269.85</v>
      </c>
      <c r="L43" s="10" t="n">
        <v>266.48</v>
      </c>
      <c r="M43" s="10"/>
      <c r="N43" s="11" t="n">
        <f aca="false">IF(I43="","",G43/I43)</f>
        <v>0.514888059701493</v>
      </c>
      <c r="O43" s="11" t="n">
        <f aca="false">IF(I43="","",H43/I43)</f>
        <v>0.217014925373134</v>
      </c>
      <c r="P43" s="11" t="str">
        <f aca="false">IF(M43="","",G43/M43)</f>
        <v/>
      </c>
      <c r="Q43" s="12" t="n">
        <v>0</v>
      </c>
      <c r="R43" s="12" t="n">
        <v>0</v>
      </c>
      <c r="S43" s="10" t="n">
        <v>110.59</v>
      </c>
      <c r="T43" s="10" t="n">
        <v>134.71</v>
      </c>
      <c r="U43" s="10" t="n">
        <v>168.69</v>
      </c>
      <c r="V43" s="13" t="n">
        <v>0.732</v>
      </c>
      <c r="W43" s="9" t="s">
        <v>131</v>
      </c>
    </row>
    <row r="44" customFormat="false" ht="15" hidden="false" customHeight="false" outlineLevel="0" collapsed="false">
      <c r="A44" s="9" t="s">
        <v>132</v>
      </c>
      <c r="B44" s="9" t="s">
        <v>133</v>
      </c>
      <c r="C44" s="9" t="n">
        <v>2021</v>
      </c>
      <c r="D44" s="9" t="s">
        <v>38</v>
      </c>
      <c r="E44" s="9" t="n">
        <v>36</v>
      </c>
      <c r="F44" s="10" t="n">
        <v>4.88</v>
      </c>
      <c r="G44" s="10" t="n">
        <v>175.54</v>
      </c>
      <c r="H44" s="10" t="n">
        <v>34.34</v>
      </c>
      <c r="I44" s="10" t="n">
        <v>152.88</v>
      </c>
      <c r="J44" s="10" t="n">
        <v>146</v>
      </c>
      <c r="K44" s="10" t="n">
        <v>157.75</v>
      </c>
      <c r="L44" s="10" t="n">
        <v>145.91</v>
      </c>
      <c r="M44" s="10"/>
      <c r="N44" s="11" t="n">
        <f aca="false">IF(I44="","",G44/I44)</f>
        <v>1.14822082679226</v>
      </c>
      <c r="O44" s="11" t="n">
        <f aca="false">IF(I44="","",H44/I44)</f>
        <v>0.22462061747776</v>
      </c>
      <c r="P44" s="11" t="str">
        <f aca="false">IF(M44="","",G44/M44)</f>
        <v/>
      </c>
      <c r="Q44" s="12" t="n">
        <v>0.938</v>
      </c>
      <c r="R44" s="12" t="n">
        <v>0</v>
      </c>
      <c r="S44" s="10" t="n">
        <v>156.4</v>
      </c>
      <c r="T44" s="10" t="n">
        <v>174.39</v>
      </c>
      <c r="U44" s="10" t="n">
        <v>196.02</v>
      </c>
      <c r="V44" s="13" t="n">
        <v>0.863</v>
      </c>
      <c r="W44" s="9" t="s">
        <v>134</v>
      </c>
    </row>
    <row r="45" customFormat="false" ht="15" hidden="false" customHeight="false" outlineLevel="0" collapsed="false">
      <c r="A45" s="9" t="s">
        <v>132</v>
      </c>
      <c r="B45" s="9" t="s">
        <v>135</v>
      </c>
      <c r="C45" s="9" t="n">
        <v>2021</v>
      </c>
      <c r="D45" s="9" t="s">
        <v>100</v>
      </c>
      <c r="E45" s="9" t="n">
        <v>30</v>
      </c>
      <c r="F45" s="10" t="n">
        <v>5.94</v>
      </c>
      <c r="G45" s="10" t="n">
        <v>178.26</v>
      </c>
      <c r="H45" s="10" t="n">
        <v>60.28</v>
      </c>
      <c r="I45" s="10" t="n">
        <v>330</v>
      </c>
      <c r="J45" s="10" t="n">
        <v>283</v>
      </c>
      <c r="K45" s="10" t="n">
        <v>347.5</v>
      </c>
      <c r="L45" s="10" t="n">
        <v>260.95</v>
      </c>
      <c r="M45" s="10"/>
      <c r="N45" s="11" t="n">
        <f aca="false">IF(I45="","",G45/I45)</f>
        <v>0.540181818181818</v>
      </c>
      <c r="O45" s="11" t="n">
        <f aca="false">IF(I45="","",H45/I45)</f>
        <v>0.182666666666667</v>
      </c>
      <c r="P45" s="11" t="str">
        <f aca="false">IF(M45="","",G45/M45)</f>
        <v/>
      </c>
      <c r="Q45" s="12" t="n">
        <v>0.004</v>
      </c>
      <c r="R45" s="12" t="n">
        <v>0</v>
      </c>
      <c r="S45" s="10" t="n">
        <v>139.9</v>
      </c>
      <c r="T45" s="10" t="n">
        <v>170.92</v>
      </c>
      <c r="U45" s="10" t="n">
        <v>226.11</v>
      </c>
      <c r="V45" s="13" t="n">
        <v>0.834</v>
      </c>
      <c r="W45" s="9" t="s">
        <v>136</v>
      </c>
    </row>
    <row r="46" customFormat="false" ht="15" hidden="false" customHeight="false" outlineLevel="0" collapsed="false">
      <c r="A46" s="9" t="s">
        <v>132</v>
      </c>
      <c r="B46" s="9" t="s">
        <v>137</v>
      </c>
      <c r="C46" s="9" t="n">
        <v>2021</v>
      </c>
      <c r="D46" s="9" t="s">
        <v>81</v>
      </c>
      <c r="E46" s="9" t="n">
        <v>12</v>
      </c>
      <c r="F46" s="10" t="n">
        <v>12.33</v>
      </c>
      <c r="G46" s="10" t="n">
        <v>148.01</v>
      </c>
      <c r="H46" s="10" t="n">
        <v>64.09</v>
      </c>
      <c r="I46" s="10" t="n">
        <v>320</v>
      </c>
      <c r="J46" s="10" t="n">
        <v>312.87</v>
      </c>
      <c r="K46" s="10" t="n">
        <v>329.85</v>
      </c>
      <c r="L46" s="10" t="n">
        <v>305.34</v>
      </c>
      <c r="M46" s="10"/>
      <c r="N46" s="11" t="n">
        <f aca="false">IF(I46="","",G46/I46)</f>
        <v>0.46253125</v>
      </c>
      <c r="O46" s="11" t="n">
        <f aca="false">IF(I46="","",H46/I46)</f>
        <v>0.20028125</v>
      </c>
      <c r="P46" s="11" t="str">
        <f aca="false">IF(M46="","",G46/M46)</f>
        <v/>
      </c>
      <c r="Q46" s="12" t="n">
        <v>0</v>
      </c>
      <c r="R46" s="12" t="n">
        <v>0</v>
      </c>
      <c r="S46" s="10" t="n">
        <v>118.58</v>
      </c>
      <c r="T46" s="10" t="n">
        <v>146.47</v>
      </c>
      <c r="U46" s="10" t="n">
        <v>180.84</v>
      </c>
      <c r="V46" s="13" t="n">
        <v>0.846</v>
      </c>
      <c r="W46" s="9" t="s">
        <v>138</v>
      </c>
    </row>
    <row r="47" customFormat="false" ht="15" hidden="false" customHeight="false" outlineLevel="0" collapsed="false">
      <c r="A47" s="9" t="s">
        <v>139</v>
      </c>
      <c r="B47" s="9" t="s">
        <v>140</v>
      </c>
      <c r="C47" s="9" t="n">
        <v>2022</v>
      </c>
      <c r="D47" s="9" t="s">
        <v>38</v>
      </c>
      <c r="E47" s="9" t="n">
        <v>36</v>
      </c>
      <c r="F47" s="10" t="n">
        <v>7.37</v>
      </c>
      <c r="G47" s="10" t="n">
        <v>265.45</v>
      </c>
      <c r="H47" s="10" t="n">
        <v>97.12</v>
      </c>
      <c r="I47" s="10" t="n">
        <v>249.9</v>
      </c>
      <c r="J47" s="10" t="n">
        <v>240</v>
      </c>
      <c r="K47" s="10" t="n">
        <v>254</v>
      </c>
      <c r="L47" s="10" t="n">
        <v>238.65</v>
      </c>
      <c r="M47" s="10"/>
      <c r="N47" s="11" t="n">
        <f aca="false">IF(I47="","",G47/I47)</f>
        <v>1.06222488995598</v>
      </c>
      <c r="O47" s="11" t="n">
        <f aca="false">IF(I47="","",H47/I47)</f>
        <v>0.388635454181673</v>
      </c>
      <c r="P47" s="11" t="str">
        <f aca="false">IF(M47="","",G47/M47)</f>
        <v/>
      </c>
      <c r="Q47" s="12" t="n">
        <v>0.567</v>
      </c>
      <c r="R47" s="12" t="n">
        <v>0.001</v>
      </c>
      <c r="S47" s="10" t="n">
        <v>207.22</v>
      </c>
      <c r="T47" s="10" t="n">
        <v>257.71</v>
      </c>
      <c r="U47" s="10" t="n">
        <v>331.32</v>
      </c>
      <c r="V47" s="13" t="n">
        <v>0.925</v>
      </c>
      <c r="W47" s="9" t="s">
        <v>141</v>
      </c>
    </row>
    <row r="48" customFormat="false" ht="15" hidden="false" customHeight="false" outlineLevel="0" collapsed="false">
      <c r="A48" s="9" t="s">
        <v>139</v>
      </c>
      <c r="B48" s="9" t="s">
        <v>142</v>
      </c>
      <c r="C48" s="9" t="n">
        <v>2022</v>
      </c>
      <c r="D48" s="9" t="s">
        <v>100</v>
      </c>
      <c r="E48" s="9" t="n">
        <v>30</v>
      </c>
      <c r="F48" s="10" t="n">
        <v>9.23</v>
      </c>
      <c r="G48" s="10" t="n">
        <v>276.82</v>
      </c>
      <c r="H48" s="10" t="n">
        <v>126.64</v>
      </c>
      <c r="I48" s="10" t="n">
        <v>397.99</v>
      </c>
      <c r="J48" s="10" t="n">
        <v>388</v>
      </c>
      <c r="K48" s="10" t="n">
        <v>399.99</v>
      </c>
      <c r="L48" s="10" t="n">
        <v>406.1</v>
      </c>
      <c r="M48" s="10"/>
      <c r="N48" s="11" t="n">
        <f aca="false">IF(I48="","",G48/I48)</f>
        <v>0.695545114198849</v>
      </c>
      <c r="O48" s="11" t="n">
        <f aca="false">IF(I48="","",H48/I48)</f>
        <v>0.318198949722355</v>
      </c>
      <c r="P48" s="11" t="str">
        <f aca="false">IF(M48="","",G48/M48)</f>
        <v/>
      </c>
      <c r="Q48" s="12" t="n">
        <v>0.051</v>
      </c>
      <c r="R48" s="12" t="n">
        <v>0</v>
      </c>
      <c r="S48" s="10" t="n">
        <v>207.19</v>
      </c>
      <c r="T48" s="10" t="n">
        <v>268.78</v>
      </c>
      <c r="U48" s="10" t="n">
        <v>359.98</v>
      </c>
      <c r="V48" s="13" t="n">
        <v>0.894</v>
      </c>
      <c r="W48" s="9" t="s">
        <v>143</v>
      </c>
    </row>
    <row r="49" customFormat="false" ht="15" hidden="false" customHeight="false" outlineLevel="0" collapsed="false">
      <c r="A49" s="9" t="s">
        <v>139</v>
      </c>
      <c r="B49" s="9" t="s">
        <v>144</v>
      </c>
      <c r="C49" s="9" t="n">
        <v>2022</v>
      </c>
      <c r="D49" s="9" t="s">
        <v>81</v>
      </c>
      <c r="E49" s="9" t="n">
        <v>12</v>
      </c>
      <c r="F49" s="10" t="n">
        <v>27.92</v>
      </c>
      <c r="G49" s="10" t="n">
        <v>335.02</v>
      </c>
      <c r="H49" s="10" t="n">
        <v>188.7</v>
      </c>
      <c r="I49" s="10" t="n">
        <v>605</v>
      </c>
      <c r="J49" s="10" t="n">
        <v>600</v>
      </c>
      <c r="K49" s="10" t="n">
        <v>659.9</v>
      </c>
      <c r="L49" s="10" t="n">
        <v>649.59</v>
      </c>
      <c r="M49" s="10"/>
      <c r="N49" s="11" t="n">
        <f aca="false">IF(I49="","",G49/I49)</f>
        <v>0.553752066115703</v>
      </c>
      <c r="O49" s="11" t="n">
        <f aca="false">IF(I49="","",H49/I49)</f>
        <v>0.311900826446281</v>
      </c>
      <c r="P49" s="11" t="str">
        <f aca="false">IF(M49="","",G49/M49)</f>
        <v/>
      </c>
      <c r="Q49" s="12" t="n">
        <v>0.01</v>
      </c>
      <c r="R49" s="12" t="n">
        <v>0</v>
      </c>
      <c r="S49" s="10" t="n">
        <v>236.27</v>
      </c>
      <c r="T49" s="10" t="n">
        <v>320.02</v>
      </c>
      <c r="U49" s="10" t="n">
        <v>445.39</v>
      </c>
      <c r="V49" s="13" t="n">
        <v>0.905</v>
      </c>
      <c r="W49" s="9" t="s">
        <v>145</v>
      </c>
    </row>
    <row r="50" customFormat="false" ht="15" hidden="false" customHeight="false" outlineLevel="0" collapsed="false">
      <c r="A50" s="9" t="s">
        <v>146</v>
      </c>
      <c r="B50" s="9" t="s">
        <v>147</v>
      </c>
      <c r="C50" s="9" t="n">
        <v>2022</v>
      </c>
      <c r="D50" s="9" t="s">
        <v>38</v>
      </c>
      <c r="E50" s="9" t="n">
        <v>36</v>
      </c>
      <c r="F50" s="10" t="n">
        <v>5.44</v>
      </c>
      <c r="G50" s="10" t="n">
        <v>195.85</v>
      </c>
      <c r="H50" s="10" t="n">
        <v>52.79</v>
      </c>
      <c r="I50" s="10" t="n">
        <v>145</v>
      </c>
      <c r="J50" s="10" t="n">
        <v>140</v>
      </c>
      <c r="K50" s="10" t="n">
        <v>153</v>
      </c>
      <c r="L50" s="10" t="n">
        <v>141.64</v>
      </c>
      <c r="M50" s="10"/>
      <c r="N50" s="11" t="n">
        <f aca="false">IF(I50="","",G50/I50)</f>
        <v>1.35068965517241</v>
      </c>
      <c r="O50" s="11" t="n">
        <f aca="false">IF(I50="","",H50/I50)</f>
        <v>0.364068965517241</v>
      </c>
      <c r="P50" s="11" t="str">
        <f aca="false">IF(M50="","",G50/M50)</f>
        <v/>
      </c>
      <c r="Q50" s="12" t="n">
        <v>0.989</v>
      </c>
      <c r="R50" s="12" t="n">
        <v>0</v>
      </c>
      <c r="S50" s="10" t="n">
        <v>163.07</v>
      </c>
      <c r="T50" s="10" t="n">
        <v>193.88</v>
      </c>
      <c r="U50" s="10" t="n">
        <v>231.55</v>
      </c>
      <c r="V50" s="13" t="n">
        <v>1</v>
      </c>
      <c r="W50" s="9" t="s">
        <v>148</v>
      </c>
    </row>
    <row r="51" customFormat="false" ht="15" hidden="false" customHeight="false" outlineLevel="0" collapsed="false">
      <c r="A51" s="9" t="s">
        <v>146</v>
      </c>
      <c r="B51" s="9" t="s">
        <v>149</v>
      </c>
      <c r="C51" s="9" t="n">
        <v>2022</v>
      </c>
      <c r="D51" s="9" t="s">
        <v>100</v>
      </c>
      <c r="E51" s="9" t="n">
        <v>30</v>
      </c>
      <c r="F51" s="10" t="n">
        <v>6.43</v>
      </c>
      <c r="G51" s="10" t="n">
        <v>192.82</v>
      </c>
      <c r="H51" s="10" t="n">
        <v>73.35</v>
      </c>
      <c r="I51" s="10" t="n">
        <v>188</v>
      </c>
      <c r="J51" s="10" t="n">
        <v>182.42</v>
      </c>
      <c r="K51" s="10" t="n">
        <v>188</v>
      </c>
      <c r="L51" s="10" t="n">
        <v>188.98</v>
      </c>
      <c r="M51" s="10"/>
      <c r="N51" s="11" t="n">
        <f aca="false">IF(I51="","",G51/I51)</f>
        <v>1.02563829787234</v>
      </c>
      <c r="O51" s="11" t="n">
        <f aca="false">IF(I51="","",H51/I51)</f>
        <v>0.390159574468085</v>
      </c>
      <c r="P51" s="11" t="str">
        <f aca="false">IF(M51="","",G51/M51)</f>
        <v/>
      </c>
      <c r="Q51" s="12" t="n">
        <v>0.501</v>
      </c>
      <c r="R51" s="12" t="n">
        <v>0.001</v>
      </c>
      <c r="S51" s="10" t="n">
        <v>146.84</v>
      </c>
      <c r="T51" s="10" t="n">
        <v>188.07</v>
      </c>
      <c r="U51" s="10" t="n">
        <v>247.07</v>
      </c>
      <c r="V51" s="13" t="n">
        <v>0.999</v>
      </c>
      <c r="W51" s="9" t="s">
        <v>150</v>
      </c>
    </row>
    <row r="52" customFormat="false" ht="15" hidden="false" customHeight="false" outlineLevel="0" collapsed="false">
      <c r="A52" s="9" t="s">
        <v>146</v>
      </c>
      <c r="B52" s="9" t="s">
        <v>151</v>
      </c>
      <c r="C52" s="9" t="n">
        <v>2022</v>
      </c>
      <c r="D52" s="9" t="s">
        <v>81</v>
      </c>
      <c r="E52" s="9" t="n">
        <v>12</v>
      </c>
      <c r="F52" s="10" t="n">
        <v>17.86</v>
      </c>
      <c r="G52" s="10" t="n">
        <v>214.3</v>
      </c>
      <c r="H52" s="10" t="n">
        <v>111.41</v>
      </c>
      <c r="I52" s="10" t="n">
        <v>319</v>
      </c>
      <c r="J52" s="10" t="n">
        <v>308</v>
      </c>
      <c r="K52" s="10" t="n">
        <v>319.99</v>
      </c>
      <c r="L52" s="10" t="n">
        <v>310.7</v>
      </c>
      <c r="M52" s="10"/>
      <c r="N52" s="11" t="n">
        <f aca="false">IF(I52="","",G52/I52)</f>
        <v>0.671786833855799</v>
      </c>
      <c r="O52" s="11" t="n">
        <f aca="false">IF(I52="","",H52/I52)</f>
        <v>0.349247648902821</v>
      </c>
      <c r="P52" s="11" t="str">
        <f aca="false">IF(M52="","",G52/M52)</f>
        <v/>
      </c>
      <c r="Q52" s="12" t="n">
        <v>0.015</v>
      </c>
      <c r="R52" s="12" t="n">
        <v>0</v>
      </c>
      <c r="S52" s="10" t="n">
        <v>161.88</v>
      </c>
      <c r="T52" s="10" t="n">
        <v>210.37</v>
      </c>
      <c r="U52" s="10" t="n">
        <v>270.35</v>
      </c>
      <c r="V52" s="13" t="n">
        <v>1</v>
      </c>
      <c r="W52" s="9" t="s">
        <v>152</v>
      </c>
    </row>
    <row r="53" customFormat="false" ht="15" hidden="false" customHeight="false" outlineLevel="0" collapsed="false">
      <c r="A53" s="9" t="s">
        <v>153</v>
      </c>
      <c r="B53" s="9" t="s">
        <v>154</v>
      </c>
      <c r="C53" s="9" t="n">
        <v>2022</v>
      </c>
      <c r="D53" s="9" t="s">
        <v>38</v>
      </c>
      <c r="E53" s="9" t="n">
        <v>36</v>
      </c>
      <c r="F53" s="10" t="n">
        <v>5.39</v>
      </c>
      <c r="G53" s="10" t="n">
        <v>194.11</v>
      </c>
      <c r="H53" s="10" t="n">
        <v>49.87</v>
      </c>
      <c r="I53" s="10" t="n">
        <v>184.5</v>
      </c>
      <c r="J53" s="10" t="n">
        <v>172</v>
      </c>
      <c r="K53" s="10" t="n">
        <v>198.98</v>
      </c>
      <c r="L53" s="10" t="n">
        <v>179.02</v>
      </c>
      <c r="M53" s="10"/>
      <c r="N53" s="11" t="n">
        <f aca="false">IF(I53="","",G53/I53)</f>
        <v>1.05208672086721</v>
      </c>
      <c r="O53" s="11" t="n">
        <f aca="false">IF(I53="","",H53/I53)</f>
        <v>0.27029810298103</v>
      </c>
      <c r="P53" s="11" t="str">
        <f aca="false">IF(M53="","",G53/M53)</f>
        <v/>
      </c>
      <c r="Q53" s="12" t="n">
        <v>0.295</v>
      </c>
      <c r="R53" s="12" t="n">
        <v>0.004</v>
      </c>
      <c r="S53" s="10" t="n">
        <v>154.47</v>
      </c>
      <c r="T53" s="10" t="n">
        <v>171.98</v>
      </c>
      <c r="U53" s="10" t="n">
        <v>270.59</v>
      </c>
      <c r="V53" s="13" t="n">
        <v>1</v>
      </c>
      <c r="W53" s="9" t="s">
        <v>155</v>
      </c>
    </row>
    <row r="54" customFormat="false" ht="15" hidden="false" customHeight="false" outlineLevel="0" collapsed="false">
      <c r="A54" s="9" t="s">
        <v>153</v>
      </c>
      <c r="B54" s="9" t="s">
        <v>156</v>
      </c>
      <c r="C54" s="9" t="n">
        <v>2022</v>
      </c>
      <c r="D54" s="9" t="s">
        <v>100</v>
      </c>
      <c r="E54" s="9" t="n">
        <v>30</v>
      </c>
      <c r="F54" s="10" t="n">
        <v>6.68</v>
      </c>
      <c r="G54" s="10" t="n">
        <v>200.49</v>
      </c>
      <c r="H54" s="10" t="n">
        <v>76</v>
      </c>
      <c r="I54" s="10" t="n">
        <v>280</v>
      </c>
      <c r="J54" s="10" t="n">
        <v>280</v>
      </c>
      <c r="K54" s="10" t="n">
        <v>290</v>
      </c>
      <c r="L54" s="10" t="n">
        <v>278.32</v>
      </c>
      <c r="M54" s="10"/>
      <c r="N54" s="11" t="n">
        <f aca="false">IF(I54="","",G54/I54)</f>
        <v>0.716035714285714</v>
      </c>
      <c r="O54" s="11" t="n">
        <f aca="false">IF(I54="","",H54/I54)</f>
        <v>0.271428571428571</v>
      </c>
      <c r="P54" s="11" t="str">
        <f aca="false">IF(M54="","",G54/M54)</f>
        <v/>
      </c>
      <c r="Q54" s="12" t="n">
        <v>0.103</v>
      </c>
      <c r="R54" s="12" t="n">
        <v>0</v>
      </c>
      <c r="S54" s="10" t="n">
        <v>146.41</v>
      </c>
      <c r="T54" s="10" t="n">
        <v>181.32</v>
      </c>
      <c r="U54" s="10" t="n">
        <v>281.99</v>
      </c>
      <c r="V54" s="13" t="n">
        <v>1</v>
      </c>
      <c r="W54" s="9" t="s">
        <v>157</v>
      </c>
    </row>
    <row r="55" customFormat="false" ht="15" hidden="false" customHeight="false" outlineLevel="0" collapsed="false">
      <c r="A55" s="9" t="s">
        <v>153</v>
      </c>
      <c r="B55" s="9" t="s">
        <v>158</v>
      </c>
      <c r="C55" s="9" t="n">
        <v>2022</v>
      </c>
      <c r="D55" s="9" t="s">
        <v>81</v>
      </c>
      <c r="E55" s="9" t="n">
        <v>12</v>
      </c>
      <c r="F55" s="10" t="n">
        <v>22.66</v>
      </c>
      <c r="G55" s="10" t="n">
        <v>271.94</v>
      </c>
      <c r="H55" s="10" t="n">
        <v>145.2</v>
      </c>
      <c r="I55" s="10" t="n">
        <v>385</v>
      </c>
      <c r="J55" s="10" t="n">
        <v>385</v>
      </c>
      <c r="K55" s="10" t="n">
        <v>392</v>
      </c>
      <c r="L55" s="10" t="n">
        <v>393.51</v>
      </c>
      <c r="M55" s="10"/>
      <c r="N55" s="11" t="n">
        <f aca="false">IF(I55="","",G55/I55)</f>
        <v>0.706337662337662</v>
      </c>
      <c r="O55" s="11" t="n">
        <f aca="false">IF(I55="","",H55/I55)</f>
        <v>0.377142857142857</v>
      </c>
      <c r="P55" s="11" t="str">
        <f aca="false">IF(M55="","",G55/M55)</f>
        <v/>
      </c>
      <c r="Q55" s="12" t="n">
        <v>0.134</v>
      </c>
      <c r="R55" s="12" t="n">
        <v>0.008</v>
      </c>
      <c r="S55" s="10" t="n">
        <v>164.8</v>
      </c>
      <c r="T55" s="10" t="n">
        <v>257.8</v>
      </c>
      <c r="U55" s="10" t="n">
        <v>409.71</v>
      </c>
      <c r="V55" s="13" t="n">
        <v>1</v>
      </c>
      <c r="W55" s="9" t="s">
        <v>159</v>
      </c>
    </row>
    <row r="56" customFormat="false" ht="15" hidden="false" customHeight="false" outlineLevel="0" collapsed="false">
      <c r="A56" s="9" t="s">
        <v>160</v>
      </c>
      <c r="B56" s="9" t="s">
        <v>161</v>
      </c>
      <c r="C56" s="9" t="n">
        <v>2022</v>
      </c>
      <c r="D56" s="9" t="s">
        <v>38</v>
      </c>
      <c r="E56" s="9" t="n">
        <v>36</v>
      </c>
      <c r="F56" s="10" t="n">
        <v>7.03</v>
      </c>
      <c r="G56" s="10" t="n">
        <v>252.94</v>
      </c>
      <c r="H56" s="10" t="n">
        <v>98.8</v>
      </c>
      <c r="I56" s="10" t="n">
        <v>227.99</v>
      </c>
      <c r="J56" s="10" t="n">
        <v>227.99</v>
      </c>
      <c r="K56" s="10" t="n">
        <v>227.99</v>
      </c>
      <c r="L56" s="10" t="n">
        <v>224.2</v>
      </c>
      <c r="M56" s="10"/>
      <c r="N56" s="11" t="n">
        <f aca="false">IF(I56="","",G56/I56)</f>
        <v>1.10943462432563</v>
      </c>
      <c r="O56" s="11" t="n">
        <f aca="false">IF(I56="","",H56/I56)</f>
        <v>0.433352340014913</v>
      </c>
      <c r="P56" s="11" t="str">
        <f aca="false">IF(M56="","",G56/M56)</f>
        <v/>
      </c>
      <c r="Q56" s="12" t="n">
        <v>0.612</v>
      </c>
      <c r="R56" s="12" t="n">
        <v>0.016</v>
      </c>
      <c r="S56" s="10" t="n">
        <v>190.06</v>
      </c>
      <c r="T56" s="10" t="n">
        <v>240.76</v>
      </c>
      <c r="U56" s="10" t="n">
        <v>326.55</v>
      </c>
      <c r="V56" s="13" t="n">
        <v>1</v>
      </c>
      <c r="W56" s="9" t="s">
        <v>162</v>
      </c>
    </row>
    <row r="57" customFormat="false" ht="15" hidden="false" customHeight="false" outlineLevel="0" collapsed="false">
      <c r="A57" s="9" t="s">
        <v>160</v>
      </c>
      <c r="B57" s="9" t="s">
        <v>163</v>
      </c>
      <c r="C57" s="9" t="n">
        <v>2022</v>
      </c>
      <c r="D57" s="9" t="s">
        <v>100</v>
      </c>
      <c r="E57" s="9" t="n">
        <v>30</v>
      </c>
      <c r="F57" s="10" t="n">
        <v>8.52</v>
      </c>
      <c r="G57" s="10" t="n">
        <v>255.56</v>
      </c>
      <c r="H57" s="10" t="n">
        <v>118.63</v>
      </c>
      <c r="I57" s="10" t="n">
        <v>379</v>
      </c>
      <c r="J57" s="10" t="n">
        <v>372</v>
      </c>
      <c r="K57" s="10" t="n">
        <v>387.95</v>
      </c>
      <c r="L57" s="10" t="n">
        <v>383.6</v>
      </c>
      <c r="M57" s="10"/>
      <c r="N57" s="11" t="n">
        <f aca="false">IF(I57="","",G57/I57)</f>
        <v>0.674300791556728</v>
      </c>
      <c r="O57" s="11" t="n">
        <f aca="false">IF(I57="","",H57/I57)</f>
        <v>0.313007915567282</v>
      </c>
      <c r="P57" s="11" t="str">
        <f aca="false">IF(M57="","",G57/M57)</f>
        <v/>
      </c>
      <c r="Q57" s="12" t="n">
        <v>0.053</v>
      </c>
      <c r="R57" s="12" t="n">
        <v>0.001</v>
      </c>
      <c r="S57" s="10" t="n">
        <v>184.07</v>
      </c>
      <c r="T57" s="10" t="n">
        <v>243.38</v>
      </c>
      <c r="U57" s="10" t="n">
        <v>338.81</v>
      </c>
      <c r="V57" s="13" t="n">
        <v>0.992</v>
      </c>
      <c r="W57" s="9" t="s">
        <v>164</v>
      </c>
    </row>
    <row r="58" customFormat="false" ht="15" hidden="false" customHeight="false" outlineLevel="0" collapsed="false">
      <c r="A58" s="9" t="s">
        <v>160</v>
      </c>
      <c r="B58" s="9" t="s">
        <v>165</v>
      </c>
      <c r="C58" s="9" t="n">
        <v>2022</v>
      </c>
      <c r="D58" s="9" t="s">
        <v>81</v>
      </c>
      <c r="E58" s="9" t="n">
        <v>12</v>
      </c>
      <c r="F58" s="10" t="n">
        <v>23.5</v>
      </c>
      <c r="G58" s="10" t="n">
        <v>282.05</v>
      </c>
      <c r="H58" s="10" t="n">
        <v>155.58</v>
      </c>
      <c r="I58" s="10" t="n">
        <v>840.96</v>
      </c>
      <c r="J58" s="10" t="n">
        <v>825</v>
      </c>
      <c r="K58" s="10" t="n">
        <v>844.93</v>
      </c>
      <c r="L58" s="10" t="n">
        <v>838.51</v>
      </c>
      <c r="M58" s="10"/>
      <c r="N58" s="11" t="n">
        <f aca="false">IF(I58="","",G58/I58)</f>
        <v>0.33539050608828</v>
      </c>
      <c r="O58" s="11" t="n">
        <f aca="false">IF(I58="","",H58/I58)</f>
        <v>0.185002853881279</v>
      </c>
      <c r="P58" s="11" t="str">
        <f aca="false">IF(M58="","",G58/M58)</f>
        <v/>
      </c>
      <c r="Q58" s="12" t="n">
        <v>0.005</v>
      </c>
      <c r="R58" s="12" t="n">
        <v>0.002</v>
      </c>
      <c r="S58" s="10" t="n">
        <v>190.66</v>
      </c>
      <c r="T58" s="10" t="n">
        <v>254.53</v>
      </c>
      <c r="U58" s="10" t="n">
        <v>396.94</v>
      </c>
      <c r="V58" s="13" t="n">
        <v>0.933</v>
      </c>
      <c r="W58" s="9" t="s">
        <v>166</v>
      </c>
    </row>
    <row r="59" customFormat="false" ht="15" hidden="false" customHeight="false" outlineLevel="0" collapsed="false">
      <c r="A59" s="9" t="s">
        <v>167</v>
      </c>
      <c r="B59" s="9" t="s">
        <v>168</v>
      </c>
      <c r="C59" s="9" t="n">
        <v>2023</v>
      </c>
      <c r="D59" s="9" t="s">
        <v>38</v>
      </c>
      <c r="E59" s="9" t="n">
        <v>36</v>
      </c>
      <c r="F59" s="10" t="n">
        <v>7.35</v>
      </c>
      <c r="G59" s="10" t="n">
        <v>264.55</v>
      </c>
      <c r="H59" s="10" t="n">
        <v>94.4</v>
      </c>
      <c r="I59" s="10" t="n">
        <v>254</v>
      </c>
      <c r="J59" s="10" t="n">
        <v>253.35</v>
      </c>
      <c r="K59" s="10" t="n">
        <v>268.9</v>
      </c>
      <c r="L59" s="10" t="n">
        <v>249.37</v>
      </c>
      <c r="M59" s="10"/>
      <c r="N59" s="11" t="n">
        <f aca="false">IF(I59="","",G59/I59)</f>
        <v>1.04153543307087</v>
      </c>
      <c r="O59" s="11" t="n">
        <f aca="false">IF(I59="","",H59/I59)</f>
        <v>0.371653543307087</v>
      </c>
      <c r="P59" s="11" t="str">
        <f aca="false">IF(M59="","",G59/M59)</f>
        <v/>
      </c>
      <c r="Q59" s="12" t="n">
        <v>0.452</v>
      </c>
      <c r="R59" s="12" t="n">
        <v>0.013</v>
      </c>
      <c r="S59" s="10" t="n">
        <v>189.38</v>
      </c>
      <c r="T59" s="10" t="n">
        <v>245.21</v>
      </c>
      <c r="U59" s="10" t="n">
        <v>374.46</v>
      </c>
      <c r="V59" s="13" t="n">
        <v>1</v>
      </c>
      <c r="W59" s="9" t="s">
        <v>169</v>
      </c>
    </row>
    <row r="60" customFormat="false" ht="15" hidden="false" customHeight="false" outlineLevel="0" collapsed="false">
      <c r="A60" s="9" t="s">
        <v>167</v>
      </c>
      <c r="B60" s="9" t="s">
        <v>170</v>
      </c>
      <c r="C60" s="9" t="n">
        <v>2023</v>
      </c>
      <c r="D60" s="9" t="s">
        <v>100</v>
      </c>
      <c r="E60" s="9" t="n">
        <v>30</v>
      </c>
      <c r="F60" s="10" t="n">
        <v>8.85</v>
      </c>
      <c r="G60" s="10" t="n">
        <v>265.4</v>
      </c>
      <c r="H60" s="10" t="n">
        <v>118.41</v>
      </c>
      <c r="I60" s="10" t="n">
        <v>295</v>
      </c>
      <c r="J60" s="10" t="n">
        <v>290.99</v>
      </c>
      <c r="K60" s="10" t="n">
        <v>297.95</v>
      </c>
      <c r="L60" s="10" t="n">
        <v>292.52</v>
      </c>
      <c r="M60" s="10"/>
      <c r="N60" s="11" t="n">
        <f aca="false">IF(I60="","",G60/I60)</f>
        <v>0.899661016949153</v>
      </c>
      <c r="O60" s="11" t="n">
        <f aca="false">IF(I60="","",H60/I60)</f>
        <v>0.401389830508475</v>
      </c>
      <c r="P60" s="11" t="str">
        <f aca="false">IF(M60="","",G60/M60)</f>
        <v/>
      </c>
      <c r="Q60" s="12" t="n">
        <v>0.285</v>
      </c>
      <c r="R60" s="12" t="n">
        <v>0.012</v>
      </c>
      <c r="S60" s="10" t="n">
        <v>176.57</v>
      </c>
      <c r="T60" s="10" t="n">
        <v>247.22</v>
      </c>
      <c r="U60" s="10" t="n">
        <v>379.69</v>
      </c>
      <c r="V60" s="13" t="n">
        <v>1</v>
      </c>
      <c r="W60" s="9" t="s">
        <v>171</v>
      </c>
    </row>
    <row r="61" customFormat="false" ht="15" hidden="false" customHeight="false" outlineLevel="0" collapsed="false">
      <c r="A61" s="9" t="s">
        <v>167</v>
      </c>
      <c r="B61" s="9" t="s">
        <v>172</v>
      </c>
      <c r="C61" s="9" t="n">
        <v>2023</v>
      </c>
      <c r="D61" s="9" t="s">
        <v>81</v>
      </c>
      <c r="E61" s="9" t="n">
        <v>12</v>
      </c>
      <c r="F61" s="10" t="n">
        <v>30.61</v>
      </c>
      <c r="G61" s="10" t="n">
        <v>367.3</v>
      </c>
      <c r="H61" s="10" t="n">
        <v>215.64</v>
      </c>
      <c r="I61" s="10" t="n">
        <v>1199.68</v>
      </c>
      <c r="J61" s="10" t="n">
        <v>1099</v>
      </c>
      <c r="K61" s="10" t="n">
        <v>1200</v>
      </c>
      <c r="L61" s="10" t="n">
        <v>1115.41</v>
      </c>
      <c r="M61" s="10"/>
      <c r="N61" s="11" t="n">
        <f aca="false">IF(I61="","",G61/I61)</f>
        <v>0.306164977327287</v>
      </c>
      <c r="O61" s="11" t="n">
        <f aca="false">IF(I61="","",H61/I61)</f>
        <v>0.179747932782075</v>
      </c>
      <c r="P61" s="11" t="str">
        <f aca="false">IF(M61="","",G61/M61)</f>
        <v/>
      </c>
      <c r="Q61" s="12" t="n">
        <v>0</v>
      </c>
      <c r="R61" s="12" t="n">
        <v>0</v>
      </c>
      <c r="S61" s="10" t="n">
        <v>223.19</v>
      </c>
      <c r="T61" s="10" t="n">
        <v>334.4</v>
      </c>
      <c r="U61" s="10" t="n">
        <v>561.79</v>
      </c>
      <c r="V61" s="13" t="n">
        <v>1</v>
      </c>
      <c r="W61" s="9" t="s">
        <v>173</v>
      </c>
    </row>
    <row r="62" customFormat="false" ht="15" hidden="false" customHeight="false" outlineLevel="0" collapsed="false">
      <c r="A62" s="9" t="s">
        <v>174</v>
      </c>
      <c r="B62" s="9" t="s">
        <v>175</v>
      </c>
      <c r="C62" s="9" t="n">
        <v>2023</v>
      </c>
      <c r="D62" s="9" t="s">
        <v>38</v>
      </c>
      <c r="E62" s="9" t="n">
        <v>36</v>
      </c>
      <c r="F62" s="10" t="n">
        <v>6.51</v>
      </c>
      <c r="G62" s="10" t="n">
        <v>234.22</v>
      </c>
      <c r="H62" s="10" t="n">
        <v>82.16</v>
      </c>
      <c r="I62" s="10" t="n">
        <v>194</v>
      </c>
      <c r="J62" s="10" t="n">
        <v>193.75</v>
      </c>
      <c r="K62" s="10" t="n">
        <v>199.9</v>
      </c>
      <c r="L62" s="10" t="n">
        <v>188.95</v>
      </c>
      <c r="M62" s="10"/>
      <c r="N62" s="11" t="n">
        <f aca="false">IF(I62="","",G62/I62)</f>
        <v>1.20731958762887</v>
      </c>
      <c r="O62" s="11" t="n">
        <f aca="false">IF(I62="","",H62/I62)</f>
        <v>0.423505154639175</v>
      </c>
      <c r="P62" s="11" t="str">
        <f aca="false">IF(M62="","",G62/M62)</f>
        <v/>
      </c>
      <c r="Q62" s="12" t="n">
        <v>0.865</v>
      </c>
      <c r="R62" s="12" t="n">
        <v>0.001</v>
      </c>
      <c r="S62" s="10" t="n">
        <v>188.95</v>
      </c>
      <c r="T62" s="10" t="n">
        <v>230.05</v>
      </c>
      <c r="U62" s="10" t="n">
        <v>284.97</v>
      </c>
      <c r="V62" s="13" t="n">
        <v>0.864</v>
      </c>
      <c r="W62" s="9" t="s">
        <v>176</v>
      </c>
    </row>
    <row r="63" customFormat="false" ht="15" hidden="false" customHeight="false" outlineLevel="0" collapsed="false">
      <c r="A63" s="9" t="s">
        <v>174</v>
      </c>
      <c r="B63" s="9" t="s">
        <v>177</v>
      </c>
      <c r="C63" s="9" t="n">
        <v>2023</v>
      </c>
      <c r="D63" s="9" t="s">
        <v>100</v>
      </c>
      <c r="E63" s="9" t="n">
        <v>30</v>
      </c>
      <c r="F63" s="10" t="n">
        <v>7.67</v>
      </c>
      <c r="G63" s="10" t="n">
        <v>230.14</v>
      </c>
      <c r="H63" s="10" t="n">
        <v>102.06</v>
      </c>
      <c r="I63" s="10" t="n">
        <v>296.97</v>
      </c>
      <c r="J63" s="10" t="n">
        <v>296.5</v>
      </c>
      <c r="K63" s="10" t="n">
        <v>296.99</v>
      </c>
      <c r="L63" s="10" t="n">
        <v>301.81</v>
      </c>
      <c r="M63" s="10"/>
      <c r="N63" s="11" t="n">
        <f aca="false">IF(I63="","",G63/I63)</f>
        <v>0.774960433713843</v>
      </c>
      <c r="O63" s="11" t="n">
        <f aca="false">IF(I63="","",H63/I63)</f>
        <v>0.343671077886655</v>
      </c>
      <c r="P63" s="11" t="str">
        <f aca="false">IF(M63="","",G63/M63)</f>
        <v/>
      </c>
      <c r="Q63" s="12" t="n">
        <v>0.09</v>
      </c>
      <c r="R63" s="12" t="n">
        <v>0</v>
      </c>
      <c r="S63" s="10" t="n">
        <v>174.5</v>
      </c>
      <c r="T63" s="10" t="n">
        <v>226.53</v>
      </c>
      <c r="U63" s="10" t="n">
        <v>293.83</v>
      </c>
      <c r="V63" s="13" t="n">
        <v>0.786</v>
      </c>
      <c r="W63" s="9" t="s">
        <v>178</v>
      </c>
    </row>
    <row r="64" customFormat="false" ht="15" hidden="false" customHeight="false" outlineLevel="0" collapsed="false">
      <c r="A64" s="9" t="s">
        <v>174</v>
      </c>
      <c r="B64" s="9" t="s">
        <v>179</v>
      </c>
      <c r="C64" s="9" t="n">
        <v>2023</v>
      </c>
      <c r="D64" s="9" t="s">
        <v>81</v>
      </c>
      <c r="E64" s="9" t="n">
        <v>12</v>
      </c>
      <c r="F64" s="10" t="n">
        <v>24.01</v>
      </c>
      <c r="G64" s="10" t="n">
        <v>288.09</v>
      </c>
      <c r="H64" s="10" t="n">
        <v>163.24</v>
      </c>
      <c r="I64" s="10" t="n">
        <v>937.01</v>
      </c>
      <c r="J64" s="10" t="n">
        <v>659.99</v>
      </c>
      <c r="K64" s="10" t="n">
        <v>943.98</v>
      </c>
      <c r="L64" s="10" t="n">
        <v>957.18</v>
      </c>
      <c r="M64" s="10"/>
      <c r="N64" s="11" t="n">
        <f aca="false">IF(I64="","",G64/I64)</f>
        <v>0.307456697367157</v>
      </c>
      <c r="O64" s="11" t="n">
        <f aca="false">IF(I64="","",H64/I64)</f>
        <v>0.174213722372227</v>
      </c>
      <c r="P64" s="11" t="str">
        <f aca="false">IF(M64="","",G64/M64)</f>
        <v/>
      </c>
      <c r="Q64" s="12" t="n">
        <v>0.006</v>
      </c>
      <c r="R64" s="12" t="n">
        <v>0.002</v>
      </c>
      <c r="S64" s="10" t="n">
        <v>188.58</v>
      </c>
      <c r="T64" s="10" t="n">
        <v>251.92</v>
      </c>
      <c r="U64" s="10" t="n">
        <v>411.04</v>
      </c>
      <c r="V64" s="13" t="n">
        <v>0.901</v>
      </c>
      <c r="W64" s="9" t="s">
        <v>180</v>
      </c>
    </row>
    <row r="65" customFormat="false" ht="15" hidden="false" customHeight="false" outlineLevel="0" collapsed="false">
      <c r="A65" s="9" t="s">
        <v>181</v>
      </c>
      <c r="B65" s="9" t="s">
        <v>182</v>
      </c>
      <c r="C65" s="9" t="n">
        <v>2023</v>
      </c>
      <c r="D65" s="9" t="s">
        <v>38</v>
      </c>
      <c r="E65" s="9" t="n">
        <v>36</v>
      </c>
      <c r="F65" s="10" t="n">
        <v>9.96</v>
      </c>
      <c r="G65" s="10" t="n">
        <v>358.68</v>
      </c>
      <c r="H65" s="10" t="n">
        <v>154.71</v>
      </c>
      <c r="I65" s="10" t="n">
        <v>420</v>
      </c>
      <c r="J65" s="10" t="n">
        <v>400</v>
      </c>
      <c r="K65" s="10" t="n">
        <v>422.89</v>
      </c>
      <c r="L65" s="10"/>
      <c r="M65" s="10"/>
      <c r="N65" s="11" t="n">
        <f aca="false">IF(I65="","",G65/I65)</f>
        <v>0.854</v>
      </c>
      <c r="O65" s="11" t="n">
        <f aca="false">IF(I65="","",H65/I65)</f>
        <v>0.368357142857143</v>
      </c>
      <c r="P65" s="11" t="str">
        <f aca="false">IF(M65="","",G65/M65)</f>
        <v/>
      </c>
      <c r="Q65" s="12" t="n">
        <v>0.198</v>
      </c>
      <c r="R65" s="12" t="n">
        <v>0</v>
      </c>
      <c r="S65" s="10" t="n">
        <v>269.57</v>
      </c>
      <c r="T65" s="10" t="n">
        <v>346.11</v>
      </c>
      <c r="U65" s="10" t="n">
        <v>465.73</v>
      </c>
      <c r="V65" s="13" t="n">
        <v>1</v>
      </c>
      <c r="W65" s="9" t="s">
        <v>183</v>
      </c>
    </row>
    <row r="66" customFormat="false" ht="15" hidden="false" customHeight="false" outlineLevel="0" collapsed="false">
      <c r="A66" s="9" t="s">
        <v>181</v>
      </c>
      <c r="B66" s="9" t="s">
        <v>184</v>
      </c>
      <c r="C66" s="9" t="n">
        <v>2023</v>
      </c>
      <c r="D66" s="9" t="s">
        <v>100</v>
      </c>
      <c r="E66" s="9" t="n">
        <v>30</v>
      </c>
      <c r="F66" s="10" t="n">
        <v>11.57</v>
      </c>
      <c r="G66" s="10" t="n">
        <v>347.02</v>
      </c>
      <c r="H66" s="10" t="n">
        <v>169.95</v>
      </c>
      <c r="I66" s="10" t="n">
        <v>307.69</v>
      </c>
      <c r="J66" s="10" t="n">
        <v>306.11</v>
      </c>
      <c r="K66" s="10" t="n">
        <v>309.99</v>
      </c>
      <c r="L66" s="10"/>
      <c r="M66" s="10"/>
      <c r="N66" s="11" t="n">
        <f aca="false">IF(I66="","",G66/I66)</f>
        <v>1.12782345867594</v>
      </c>
      <c r="O66" s="11" t="n">
        <f aca="false">IF(I66="","",H66/I66)</f>
        <v>0.552341642562319</v>
      </c>
      <c r="P66" s="11" t="str">
        <f aca="false">IF(M66="","",G66/M66)</f>
        <v/>
      </c>
      <c r="Q66" s="12" t="n">
        <v>0.641</v>
      </c>
      <c r="R66" s="12" t="n">
        <v>0.03</v>
      </c>
      <c r="S66" s="10" t="n">
        <v>251.38</v>
      </c>
      <c r="T66" s="10" t="n">
        <v>335.23</v>
      </c>
      <c r="U66" s="10" t="n">
        <v>462.15</v>
      </c>
      <c r="V66" s="13" t="n">
        <v>1</v>
      </c>
      <c r="W66" s="9" t="s">
        <v>185</v>
      </c>
    </row>
    <row r="67" customFormat="false" ht="15" hidden="false" customHeight="false" outlineLevel="0" collapsed="false">
      <c r="A67" s="9" t="s">
        <v>181</v>
      </c>
      <c r="B67" s="9" t="s">
        <v>186</v>
      </c>
      <c r="C67" s="9" t="n">
        <v>2023</v>
      </c>
      <c r="D67" s="9" t="s">
        <v>81</v>
      </c>
      <c r="E67" s="9" t="n">
        <v>12</v>
      </c>
      <c r="F67" s="10" t="n">
        <v>59.88</v>
      </c>
      <c r="G67" s="10" t="n">
        <v>718.55</v>
      </c>
      <c r="H67" s="10" t="n">
        <v>462.94</v>
      </c>
      <c r="I67" s="10" t="n">
        <v>2080</v>
      </c>
      <c r="J67" s="10" t="n">
        <v>2035</v>
      </c>
      <c r="K67" s="10" t="n">
        <v>2087.9</v>
      </c>
      <c r="L67" s="10"/>
      <c r="M67" s="10"/>
      <c r="N67" s="11" t="n">
        <f aca="false">IF(I67="","",G67/I67)</f>
        <v>0.345456730769231</v>
      </c>
      <c r="O67" s="11" t="n">
        <f aca="false">IF(I67="","",H67/I67)</f>
        <v>0.222567307692308</v>
      </c>
      <c r="P67" s="11" t="str">
        <f aca="false">IF(M67="","",G67/M67)</f>
        <v/>
      </c>
      <c r="Q67" s="12" t="n">
        <v>0.022</v>
      </c>
      <c r="R67" s="12" t="n">
        <v>0.009</v>
      </c>
      <c r="S67" s="10" t="n">
        <v>452.68</v>
      </c>
      <c r="T67" s="10" t="n">
        <v>641.28</v>
      </c>
      <c r="U67" s="10" t="n">
        <v>1002.36</v>
      </c>
      <c r="V67" s="13" t="n">
        <v>1</v>
      </c>
      <c r="W67" s="9" t="s">
        <v>187</v>
      </c>
    </row>
    <row r="68" customFormat="false" ht="15" hidden="false" customHeight="false" outlineLevel="0" collapsed="false">
      <c r="A68" s="9" t="s">
        <v>188</v>
      </c>
      <c r="B68" s="9" t="s">
        <v>189</v>
      </c>
      <c r="C68" s="9" t="n">
        <v>2023</v>
      </c>
      <c r="D68" s="9" t="s">
        <v>38</v>
      </c>
      <c r="E68" s="9" t="n">
        <v>36</v>
      </c>
      <c r="F68" s="10" t="n">
        <v>10.47</v>
      </c>
      <c r="G68" s="10" t="n">
        <v>376.93</v>
      </c>
      <c r="H68" s="10" t="n">
        <v>170.73</v>
      </c>
      <c r="I68" s="10" t="n">
        <v>320.7</v>
      </c>
      <c r="J68" s="10" t="n">
        <v>274.99</v>
      </c>
      <c r="K68" s="10" t="n">
        <v>329.7</v>
      </c>
      <c r="L68" s="10" t="n">
        <v>321.4</v>
      </c>
      <c r="M68" s="10"/>
      <c r="N68" s="11" t="n">
        <f aca="false">IF(I68="","",G68/I68)</f>
        <v>1.17533520424072</v>
      </c>
      <c r="O68" s="11" t="n">
        <f aca="false">IF(I68="","",H68/I68)</f>
        <v>0.532366697848457</v>
      </c>
      <c r="P68" s="11" t="str">
        <f aca="false">IF(M68="","",G68/M68)</f>
        <v/>
      </c>
      <c r="Q68" s="12" t="n">
        <v>0.7</v>
      </c>
      <c r="R68" s="12" t="n">
        <v>0.04</v>
      </c>
      <c r="S68" s="10" t="n">
        <v>275.29</v>
      </c>
      <c r="T68" s="10" t="n">
        <v>356.84</v>
      </c>
      <c r="U68" s="10" t="n">
        <v>509.7</v>
      </c>
      <c r="V68" s="13" t="n">
        <v>0.861</v>
      </c>
      <c r="W68" s="9" t="s">
        <v>190</v>
      </c>
    </row>
    <row r="69" customFormat="false" ht="15" hidden="false" customHeight="false" outlineLevel="0" collapsed="false">
      <c r="A69" s="9" t="s">
        <v>188</v>
      </c>
      <c r="B69" s="9" t="s">
        <v>191</v>
      </c>
      <c r="C69" s="9" t="n">
        <v>2023</v>
      </c>
      <c r="D69" s="9" t="s">
        <v>100</v>
      </c>
      <c r="E69" s="9" t="n">
        <v>30</v>
      </c>
      <c r="F69" s="10" t="n">
        <v>12.37</v>
      </c>
      <c r="G69" s="10" t="n">
        <v>370.95</v>
      </c>
      <c r="H69" s="10" t="n">
        <v>190.56</v>
      </c>
      <c r="I69" s="10" t="n">
        <v>349.49</v>
      </c>
      <c r="J69" s="10" t="n">
        <v>349</v>
      </c>
      <c r="K69" s="10" t="n">
        <v>363.99</v>
      </c>
      <c r="L69" s="10" t="n">
        <v>362.78</v>
      </c>
      <c r="M69" s="10"/>
      <c r="N69" s="11" t="n">
        <f aca="false">IF(I69="","",G69/I69)</f>
        <v>1.06140375976423</v>
      </c>
      <c r="O69" s="11" t="n">
        <f aca="false">IF(I69="","",H69/I69)</f>
        <v>0.545251652407794</v>
      </c>
      <c r="P69" s="11" t="str">
        <f aca="false">IF(M69="","",G69/M69)</f>
        <v/>
      </c>
      <c r="Q69" s="12" t="n">
        <v>0.514</v>
      </c>
      <c r="R69" s="12" t="n">
        <v>0.041</v>
      </c>
      <c r="S69" s="10" t="n">
        <v>254.76</v>
      </c>
      <c r="T69" s="10" t="n">
        <v>352.58</v>
      </c>
      <c r="U69" s="10" t="n">
        <v>505.05</v>
      </c>
      <c r="V69" s="13" t="n">
        <v>0.863</v>
      </c>
      <c r="W69" s="9" t="s">
        <v>192</v>
      </c>
    </row>
    <row r="70" customFormat="false" ht="15" hidden="false" customHeight="false" outlineLevel="0" collapsed="false">
      <c r="A70" s="9" t="s">
        <v>188</v>
      </c>
      <c r="B70" s="9" t="s">
        <v>193</v>
      </c>
      <c r="C70" s="9" t="n">
        <v>2023</v>
      </c>
      <c r="D70" s="9" t="s">
        <v>81</v>
      </c>
      <c r="E70" s="9" t="n">
        <v>12</v>
      </c>
      <c r="F70" s="10" t="n">
        <v>37.51</v>
      </c>
      <c r="G70" s="10" t="n">
        <v>450.11</v>
      </c>
      <c r="H70" s="10" t="n">
        <v>270.52</v>
      </c>
      <c r="I70" s="10" t="n">
        <v>900</v>
      </c>
      <c r="J70" s="10" t="n">
        <v>869.99</v>
      </c>
      <c r="K70" s="10" t="n">
        <v>988.88</v>
      </c>
      <c r="L70" s="10" t="n">
        <v>861.93</v>
      </c>
      <c r="M70" s="10"/>
      <c r="N70" s="11" t="n">
        <f aca="false">IF(I70="","",G70/I70)</f>
        <v>0.500122222222222</v>
      </c>
      <c r="O70" s="11" t="n">
        <f aca="false">IF(I70="","",H70/I70)</f>
        <v>0.300577777777778</v>
      </c>
      <c r="P70" s="11" t="str">
        <f aca="false">IF(M70="","",G70/M70)</f>
        <v/>
      </c>
      <c r="Q70" s="12" t="n">
        <v>0.034</v>
      </c>
      <c r="R70" s="12" t="n">
        <v>0.025</v>
      </c>
      <c r="S70" s="10" t="n">
        <v>255.78</v>
      </c>
      <c r="T70" s="10" t="n">
        <v>372.67</v>
      </c>
      <c r="U70" s="10" t="n">
        <v>643.2</v>
      </c>
      <c r="V70" s="13" t="n">
        <v>0.851</v>
      </c>
      <c r="W70" s="9" t="s">
        <v>194</v>
      </c>
    </row>
    <row r="71" customFormat="false" ht="15" hidden="false" customHeight="false" outlineLevel="0" collapsed="false">
      <c r="A71" s="9" t="s">
        <v>195</v>
      </c>
      <c r="B71" s="9" t="s">
        <v>196</v>
      </c>
      <c r="C71" s="9" t="n">
        <v>2023</v>
      </c>
      <c r="D71" s="9" t="s">
        <v>38</v>
      </c>
      <c r="E71" s="9" t="n">
        <v>36</v>
      </c>
      <c r="F71" s="10" t="n">
        <v>6.11</v>
      </c>
      <c r="G71" s="10" t="n">
        <v>219.85</v>
      </c>
      <c r="H71" s="10" t="n">
        <v>71.66</v>
      </c>
      <c r="I71" s="10" t="n">
        <v>263.5</v>
      </c>
      <c r="J71" s="10" t="n">
        <v>256.35</v>
      </c>
      <c r="K71" s="10" t="n">
        <v>264.98</v>
      </c>
      <c r="L71" s="10" t="n">
        <v>257.55</v>
      </c>
      <c r="M71" s="10"/>
      <c r="N71" s="11" t="n">
        <f aca="false">IF(I71="","",G71/I71)</f>
        <v>0.834345351043643</v>
      </c>
      <c r="O71" s="11" t="n">
        <f aca="false">IF(I71="","",H71/I71)</f>
        <v>0.271954459203036</v>
      </c>
      <c r="P71" s="11" t="str">
        <f aca="false">IF(M71="","",G71/M71)</f>
        <v/>
      </c>
      <c r="Q71" s="12" t="n">
        <v>0.191</v>
      </c>
      <c r="R71" s="12" t="n">
        <v>0</v>
      </c>
      <c r="S71" s="10" t="n">
        <v>159.68</v>
      </c>
      <c r="T71" s="10" t="n">
        <v>211.68</v>
      </c>
      <c r="U71" s="10" t="n">
        <v>288.8</v>
      </c>
      <c r="V71" s="13" t="n">
        <v>0.918</v>
      </c>
      <c r="W71" s="9" t="s">
        <v>197</v>
      </c>
    </row>
    <row r="72" customFormat="false" ht="15" hidden="false" customHeight="false" outlineLevel="0" collapsed="false">
      <c r="A72" s="9" t="s">
        <v>195</v>
      </c>
      <c r="B72" s="9" t="s">
        <v>198</v>
      </c>
      <c r="C72" s="9" t="n">
        <v>2023</v>
      </c>
      <c r="D72" s="9" t="s">
        <v>100</v>
      </c>
      <c r="E72" s="9" t="n">
        <v>30</v>
      </c>
      <c r="F72" s="10" t="n">
        <v>7.97</v>
      </c>
      <c r="G72" s="10" t="n">
        <v>239.21</v>
      </c>
      <c r="H72" s="10" t="n">
        <v>105.95</v>
      </c>
      <c r="I72" s="10" t="n">
        <v>442.95</v>
      </c>
      <c r="J72" s="10" t="n">
        <v>439.01</v>
      </c>
      <c r="K72" s="10" t="n">
        <v>449.48</v>
      </c>
      <c r="L72" s="10" t="n">
        <v>444.77</v>
      </c>
      <c r="M72" s="10"/>
      <c r="N72" s="11" t="n">
        <f aca="false">IF(I72="","",G72/I72)</f>
        <v>0.540038379049554</v>
      </c>
      <c r="O72" s="11" t="n">
        <f aca="false">IF(I72="","",H72/I72)</f>
        <v>0.239191782368213</v>
      </c>
      <c r="P72" s="11" t="str">
        <f aca="false">IF(M72="","",G72/M72)</f>
        <v/>
      </c>
      <c r="Q72" s="12" t="n">
        <v>0.004</v>
      </c>
      <c r="R72" s="12" t="n">
        <v>0</v>
      </c>
      <c r="S72" s="10" t="n">
        <v>163.47</v>
      </c>
      <c r="T72" s="10" t="n">
        <v>231.47</v>
      </c>
      <c r="U72" s="10" t="n">
        <v>324.46</v>
      </c>
      <c r="V72" s="13" t="n">
        <v>0.869</v>
      </c>
      <c r="W72" s="9" t="s">
        <v>199</v>
      </c>
    </row>
    <row r="73" customFormat="false" ht="15" hidden="false" customHeight="false" outlineLevel="0" collapsed="false">
      <c r="A73" s="9" t="s">
        <v>195</v>
      </c>
      <c r="B73" s="9" t="s">
        <v>200</v>
      </c>
      <c r="C73" s="9" t="n">
        <v>2023</v>
      </c>
      <c r="D73" s="9" t="s">
        <v>81</v>
      </c>
      <c r="E73" s="9" t="n">
        <v>12</v>
      </c>
      <c r="F73" s="10" t="n">
        <v>36.84</v>
      </c>
      <c r="G73" s="10" t="n">
        <v>442.07</v>
      </c>
      <c r="H73" s="10" t="n">
        <v>268.07</v>
      </c>
      <c r="I73" s="10" t="n">
        <v>1299.94</v>
      </c>
      <c r="J73" s="10" t="n">
        <v>649.99</v>
      </c>
      <c r="K73" s="10" t="n">
        <v>1299.99</v>
      </c>
      <c r="L73" s="10" t="n">
        <v>1193.89</v>
      </c>
      <c r="M73" s="10"/>
      <c r="N73" s="11" t="n">
        <f aca="false">IF(I73="","",G73/I73)</f>
        <v>0.340069541671154</v>
      </c>
      <c r="O73" s="11" t="n">
        <f aca="false">IF(I73="","",H73/I73)</f>
        <v>0.206217210025078</v>
      </c>
      <c r="P73" s="11" t="str">
        <f aca="false">IF(M73="","",G73/M73)</f>
        <v/>
      </c>
      <c r="Q73" s="12" t="n">
        <v>0.015</v>
      </c>
      <c r="R73" s="12" t="n">
        <v>0.002</v>
      </c>
      <c r="S73" s="10" t="n">
        <v>263.1</v>
      </c>
      <c r="T73" s="10" t="n">
        <v>380.64</v>
      </c>
      <c r="U73" s="10" t="n">
        <v>669.38</v>
      </c>
      <c r="V73" s="13" t="n">
        <v>0.86</v>
      </c>
      <c r="W73" s="9" t="s">
        <v>201</v>
      </c>
    </row>
    <row r="74" customFormat="false" ht="15" hidden="false" customHeight="false" outlineLevel="0" collapsed="false">
      <c r="A74" s="9" t="s">
        <v>202</v>
      </c>
      <c r="B74" s="9" t="s">
        <v>203</v>
      </c>
      <c r="C74" s="9" t="n">
        <v>2024</v>
      </c>
      <c r="D74" s="9" t="s">
        <v>204</v>
      </c>
      <c r="E74" s="9" t="n">
        <v>36</v>
      </c>
      <c r="F74" s="10" t="n">
        <v>6.6</v>
      </c>
      <c r="G74" s="10" t="n">
        <v>237.71</v>
      </c>
      <c r="H74" s="10" t="n">
        <v>102.13</v>
      </c>
      <c r="I74" s="10" t="n">
        <v>139.99</v>
      </c>
      <c r="J74" s="10" t="n">
        <v>139.99</v>
      </c>
      <c r="K74" s="10" t="n">
        <v>140</v>
      </c>
      <c r="L74" s="10" t="n">
        <v>138.99</v>
      </c>
      <c r="M74" s="10"/>
      <c r="N74" s="11" t="n">
        <f aca="false">IF(I74="","",G74/I74)</f>
        <v>1.69804986070434</v>
      </c>
      <c r="O74" s="11" t="n">
        <f aca="false">IF(I74="","",H74/I74)</f>
        <v>0.729552110865062</v>
      </c>
      <c r="P74" s="11" t="str">
        <f aca="false">IF(M74="","",G74/M74)</f>
        <v/>
      </c>
      <c r="Q74" s="12" t="n">
        <v>0.997</v>
      </c>
      <c r="R74" s="12" t="n">
        <v>0.113</v>
      </c>
      <c r="S74" s="10" t="n">
        <v>184.58</v>
      </c>
      <c r="T74" s="10" t="n">
        <v>234.42</v>
      </c>
      <c r="U74" s="10" t="n">
        <v>293.88</v>
      </c>
      <c r="V74" s="13" t="n">
        <v>0.983</v>
      </c>
      <c r="W74" s="9" t="s">
        <v>205</v>
      </c>
    </row>
    <row r="75" customFormat="false" ht="15" hidden="false" customHeight="false" outlineLevel="0" collapsed="false">
      <c r="A75" s="9" t="s">
        <v>202</v>
      </c>
      <c r="B75" s="9" t="s">
        <v>206</v>
      </c>
      <c r="C75" s="9" t="n">
        <v>2024</v>
      </c>
      <c r="D75" s="9" t="s">
        <v>81</v>
      </c>
      <c r="E75" s="9" t="n">
        <v>12</v>
      </c>
      <c r="F75" s="10" t="n">
        <v>25.23</v>
      </c>
      <c r="G75" s="10" t="n">
        <v>302.75</v>
      </c>
      <c r="H75" s="10" t="n">
        <v>176.67</v>
      </c>
      <c r="I75" s="10" t="n">
        <v>409.98</v>
      </c>
      <c r="J75" s="10" t="n">
        <v>399.95</v>
      </c>
      <c r="K75" s="10" t="n">
        <v>409.98</v>
      </c>
      <c r="L75" s="10" t="n">
        <v>396.88</v>
      </c>
      <c r="M75" s="10"/>
      <c r="N75" s="11" t="n">
        <f aca="false">IF(I75="","",G75/I75)</f>
        <v>0.738450656129567</v>
      </c>
      <c r="O75" s="11" t="n">
        <f aca="false">IF(I75="","",H75/I75)</f>
        <v>0.43092345968096</v>
      </c>
      <c r="P75" s="11" t="str">
        <f aca="false">IF(M75="","",G75/M75)</f>
        <v/>
      </c>
      <c r="Q75" s="12" t="n">
        <v>0.108</v>
      </c>
      <c r="R75" s="12" t="n">
        <v>0.08</v>
      </c>
      <c r="S75" s="10" t="n">
        <v>171.54</v>
      </c>
      <c r="T75" s="10" t="n">
        <v>248.84</v>
      </c>
      <c r="U75" s="10" t="n">
        <v>445.02</v>
      </c>
      <c r="V75" s="13" t="n">
        <v>0.981</v>
      </c>
      <c r="W75" s="9" t="s">
        <v>207</v>
      </c>
    </row>
    <row r="76" customFormat="false" ht="15" hidden="false" customHeight="false" outlineLevel="0" collapsed="false">
      <c r="A76" s="9" t="s">
        <v>208</v>
      </c>
      <c r="B76" s="9" t="s">
        <v>209</v>
      </c>
      <c r="C76" s="9" t="n">
        <v>2024</v>
      </c>
      <c r="D76" s="9" t="s">
        <v>204</v>
      </c>
      <c r="E76" s="9" t="n">
        <v>36</v>
      </c>
      <c r="F76" s="10" t="n">
        <v>7.92</v>
      </c>
      <c r="G76" s="10" t="n">
        <v>285.18</v>
      </c>
      <c r="H76" s="10" t="n">
        <v>121.58</v>
      </c>
      <c r="I76" s="10" t="n">
        <v>198</v>
      </c>
      <c r="J76" s="10" t="n">
        <v>190</v>
      </c>
      <c r="K76" s="10" t="n">
        <v>198.78</v>
      </c>
      <c r="L76" s="10" t="n">
        <v>196.99</v>
      </c>
      <c r="M76" s="10"/>
      <c r="N76" s="11" t="n">
        <f aca="false">IF(I76="","",G76/I76)</f>
        <v>1.44030303030303</v>
      </c>
      <c r="O76" s="11" t="n">
        <f aca="false">IF(I76="","",H76/I76)</f>
        <v>0.614040404040404</v>
      </c>
      <c r="P76" s="11" t="str">
        <f aca="false">IF(M76="","",G76/M76)</f>
        <v/>
      </c>
      <c r="Q76" s="12" t="n">
        <v>0.97</v>
      </c>
      <c r="R76" s="12" t="n">
        <v>0.035</v>
      </c>
      <c r="S76" s="10" t="n">
        <v>219.85</v>
      </c>
      <c r="T76" s="10" t="n">
        <v>279.38</v>
      </c>
      <c r="U76" s="10" t="n">
        <v>353.36</v>
      </c>
      <c r="V76" s="13" t="n">
        <v>0.999</v>
      </c>
      <c r="W76" s="9" t="s">
        <v>210</v>
      </c>
    </row>
    <row r="77" customFormat="false" ht="15" hidden="false" customHeight="false" outlineLevel="0" collapsed="false">
      <c r="A77" s="9" t="s">
        <v>208</v>
      </c>
      <c r="B77" s="9" t="s">
        <v>211</v>
      </c>
      <c r="C77" s="9" t="n">
        <v>2024</v>
      </c>
      <c r="D77" s="9" t="s">
        <v>81</v>
      </c>
      <c r="E77" s="9" t="n">
        <v>12</v>
      </c>
      <c r="F77" s="10" t="n">
        <v>27.2</v>
      </c>
      <c r="G77" s="10" t="n">
        <v>326.36</v>
      </c>
      <c r="H77" s="10" t="n">
        <v>188.19</v>
      </c>
      <c r="I77" s="10" t="n">
        <v>474.99</v>
      </c>
      <c r="J77" s="10" t="n">
        <v>472</v>
      </c>
      <c r="K77" s="10" t="n">
        <v>487.9</v>
      </c>
      <c r="L77" s="10" t="n">
        <v>473.7</v>
      </c>
      <c r="M77" s="10"/>
      <c r="N77" s="11" t="n">
        <f aca="false">IF(I77="","",G77/I77)</f>
        <v>0.687088149224194</v>
      </c>
      <c r="O77" s="11" t="n">
        <f aca="false">IF(I77="","",H77/I77)</f>
        <v>0.396197814690836</v>
      </c>
      <c r="P77" s="11" t="str">
        <f aca="false">IF(M77="","",G77/M77)</f>
        <v/>
      </c>
      <c r="Q77" s="12" t="n">
        <v>0.07</v>
      </c>
      <c r="R77" s="12" t="n">
        <v>0.004</v>
      </c>
      <c r="S77" s="10" t="n">
        <v>216.22</v>
      </c>
      <c r="T77" s="10" t="n">
        <v>306.18</v>
      </c>
      <c r="U77" s="10" t="n">
        <v>448.68</v>
      </c>
      <c r="V77" s="13" t="n">
        <v>0.999</v>
      </c>
      <c r="W77" s="9" t="s">
        <v>212</v>
      </c>
    </row>
    <row r="78" customFormat="false" ht="15" hidden="false" customHeight="false" outlineLevel="0" collapsed="false">
      <c r="A78" s="9" t="s">
        <v>213</v>
      </c>
      <c r="B78" s="9" t="s">
        <v>214</v>
      </c>
      <c r="C78" s="9" t="n">
        <v>2024</v>
      </c>
      <c r="D78" s="9" t="s">
        <v>204</v>
      </c>
      <c r="E78" s="9" t="n">
        <v>36</v>
      </c>
      <c r="F78" s="10" t="n">
        <v>10.7</v>
      </c>
      <c r="G78" s="10" t="n">
        <v>385.37</v>
      </c>
      <c r="H78" s="10" t="n">
        <v>185.69</v>
      </c>
      <c r="I78" s="10" t="n">
        <v>300</v>
      </c>
      <c r="J78" s="10" t="n">
        <v>293.86</v>
      </c>
      <c r="K78" s="10" t="n">
        <v>308.86</v>
      </c>
      <c r="L78" s="10" t="n">
        <v>303.08</v>
      </c>
      <c r="M78" s="10"/>
      <c r="N78" s="11" t="n">
        <f aca="false">IF(I78="","",G78/I78)</f>
        <v>1.28456666666667</v>
      </c>
      <c r="O78" s="11" t="n">
        <f aca="false">IF(I78="","",H78/I78)</f>
        <v>0.618966666666667</v>
      </c>
      <c r="P78" s="11" t="str">
        <f aca="false">IF(M78="","",G78/M78)</f>
        <v/>
      </c>
      <c r="Q78" s="12" t="n">
        <v>0.935</v>
      </c>
      <c r="R78" s="12" t="n">
        <v>0.015</v>
      </c>
      <c r="S78" s="10" t="n">
        <v>312.72</v>
      </c>
      <c r="T78" s="10" t="n">
        <v>378.6</v>
      </c>
      <c r="U78" s="10" t="n">
        <v>466.91</v>
      </c>
      <c r="V78" s="13" t="n">
        <v>0.94</v>
      </c>
      <c r="W78" s="9" t="s">
        <v>215</v>
      </c>
    </row>
    <row r="79" customFormat="false" ht="15" hidden="false" customHeight="false" outlineLevel="0" collapsed="false">
      <c r="A79" s="9" t="s">
        <v>213</v>
      </c>
      <c r="B79" s="9" t="s">
        <v>216</v>
      </c>
      <c r="C79" s="9" t="n">
        <v>2024</v>
      </c>
      <c r="D79" s="9" t="s">
        <v>81</v>
      </c>
      <c r="E79" s="9" t="n">
        <v>12</v>
      </c>
      <c r="F79" s="10" t="n">
        <v>49.76</v>
      </c>
      <c r="G79" s="10" t="n">
        <v>597.14</v>
      </c>
      <c r="H79" s="10" t="n">
        <v>374.55</v>
      </c>
      <c r="I79" s="10" t="n">
        <v>885.53</v>
      </c>
      <c r="J79" s="10" t="n">
        <v>885.53</v>
      </c>
      <c r="K79" s="10" t="n">
        <v>908.59</v>
      </c>
      <c r="L79" s="10" t="n">
        <v>899.02</v>
      </c>
      <c r="M79" s="10"/>
      <c r="N79" s="11" t="n">
        <f aca="false">IF(I79="","",G79/I79)</f>
        <v>0.674330626856233</v>
      </c>
      <c r="O79" s="11" t="n">
        <f aca="false">IF(I79="","",H79/I79)</f>
        <v>0.422967036689892</v>
      </c>
      <c r="P79" s="11" t="str">
        <f aca="false">IF(M79="","",G79/M79)</f>
        <v/>
      </c>
      <c r="Q79" s="12" t="n">
        <v>0.015</v>
      </c>
      <c r="R79" s="12" t="n">
        <v>0.004</v>
      </c>
      <c r="S79" s="10" t="n">
        <v>458.73</v>
      </c>
      <c r="T79" s="10" t="n">
        <v>583.19</v>
      </c>
      <c r="U79" s="10" t="n">
        <v>737.07</v>
      </c>
      <c r="V79" s="13" t="n">
        <v>0.954</v>
      </c>
      <c r="W79" s="9" t="s">
        <v>217</v>
      </c>
    </row>
    <row r="80" customFormat="false" ht="15" hidden="false" customHeight="false" outlineLevel="0" collapsed="false">
      <c r="A80" s="9" t="s">
        <v>218</v>
      </c>
      <c r="B80" s="9" t="s">
        <v>219</v>
      </c>
      <c r="C80" s="9" t="n">
        <v>2024</v>
      </c>
      <c r="D80" s="9" t="s">
        <v>204</v>
      </c>
      <c r="E80" s="9" t="n">
        <v>36</v>
      </c>
      <c r="F80" s="10" t="n">
        <v>7.77</v>
      </c>
      <c r="G80" s="10" t="n">
        <v>279.87</v>
      </c>
      <c r="H80" s="10" t="n">
        <v>106.06</v>
      </c>
      <c r="I80" s="10" t="n">
        <v>203.99</v>
      </c>
      <c r="J80" s="10" t="n">
        <v>194.99</v>
      </c>
      <c r="K80" s="10" t="n">
        <v>210</v>
      </c>
      <c r="L80" s="10" t="n">
        <v>205.19</v>
      </c>
      <c r="M80" s="10"/>
      <c r="N80" s="11" t="n">
        <f aca="false">IF(I80="","",G80/I80)</f>
        <v>1.37197901857934</v>
      </c>
      <c r="O80" s="11" t="n">
        <f aca="false">IF(I80="","",H80/I80)</f>
        <v>0.519927447423893</v>
      </c>
      <c r="P80" s="11" t="str">
        <f aca="false">IF(M80="","",G80/M80)</f>
        <v/>
      </c>
      <c r="Q80" s="12" t="n">
        <v>0.975</v>
      </c>
      <c r="R80" s="12" t="n">
        <v>0.011</v>
      </c>
      <c r="S80" s="10" t="n">
        <v>223.69</v>
      </c>
      <c r="T80" s="10" t="n">
        <v>274.05</v>
      </c>
      <c r="U80" s="10" t="n">
        <v>342.67</v>
      </c>
      <c r="V80" s="13" t="n">
        <v>1</v>
      </c>
      <c r="W80" s="9" t="s">
        <v>220</v>
      </c>
    </row>
    <row r="81" customFormat="false" ht="15" hidden="false" customHeight="false" outlineLevel="0" collapsed="false">
      <c r="A81" s="9" t="s">
        <v>218</v>
      </c>
      <c r="B81" s="9" t="s">
        <v>221</v>
      </c>
      <c r="C81" s="9" t="n">
        <v>2024</v>
      </c>
      <c r="D81" s="9" t="s">
        <v>81</v>
      </c>
      <c r="E81" s="9" t="n">
        <v>12</v>
      </c>
      <c r="F81" s="10" t="n">
        <v>42.33</v>
      </c>
      <c r="G81" s="10" t="n">
        <v>507.9</v>
      </c>
      <c r="H81" s="10" t="n">
        <v>310.45</v>
      </c>
      <c r="I81" s="10" t="n">
        <v>1251.97</v>
      </c>
      <c r="J81" s="10" t="n">
        <v>1237.01</v>
      </c>
      <c r="K81" s="10" t="n">
        <v>1309.99</v>
      </c>
      <c r="L81" s="10" t="n">
        <v>1310.6</v>
      </c>
      <c r="M81" s="10"/>
      <c r="N81" s="11" t="n">
        <f aca="false">IF(I81="","",G81/I81)</f>
        <v>0.405680647299855</v>
      </c>
      <c r="O81" s="11" t="n">
        <f aca="false">IF(I81="","",H81/I81)</f>
        <v>0.247969200539949</v>
      </c>
      <c r="P81" s="11" t="str">
        <f aca="false">IF(M81="","",G81/M81)</f>
        <v/>
      </c>
      <c r="Q81" s="12" t="n">
        <v>0.03</v>
      </c>
      <c r="R81" s="12" t="n">
        <v>0.009</v>
      </c>
      <c r="S81" s="10" t="n">
        <v>302.01</v>
      </c>
      <c r="T81" s="10" t="n">
        <v>424.72</v>
      </c>
      <c r="U81" s="10" t="n">
        <v>797.35</v>
      </c>
      <c r="V81" s="13" t="n">
        <v>0.998</v>
      </c>
      <c r="W81" s="9" t="s">
        <v>222</v>
      </c>
    </row>
    <row r="82" customFormat="false" ht="15" hidden="false" customHeight="false" outlineLevel="0" collapsed="false">
      <c r="A82" s="9" t="s">
        <v>223</v>
      </c>
      <c r="B82" s="9" t="s">
        <v>224</v>
      </c>
      <c r="C82" s="9" t="n">
        <v>2024</v>
      </c>
      <c r="D82" s="9" t="s">
        <v>204</v>
      </c>
      <c r="E82" s="9" t="n">
        <v>36</v>
      </c>
      <c r="F82" s="10" t="n">
        <v>6.9</v>
      </c>
      <c r="G82" s="10" t="n">
        <v>248.22</v>
      </c>
      <c r="H82" s="10" t="n">
        <v>99.97</v>
      </c>
      <c r="I82" s="10" t="n">
        <v>209.95</v>
      </c>
      <c r="J82" s="10" t="n">
        <v>199.97</v>
      </c>
      <c r="K82" s="10" t="n">
        <v>215</v>
      </c>
      <c r="L82" s="10" t="n">
        <v>206.75</v>
      </c>
      <c r="M82" s="10"/>
      <c r="N82" s="11" t="n">
        <f aca="false">IF(I82="","",G82/I82)</f>
        <v>1.18228149559419</v>
      </c>
      <c r="O82" s="11" t="n">
        <f aca="false">IF(I82="","",H82/I82)</f>
        <v>0.476160990712074</v>
      </c>
      <c r="P82" s="11" t="str">
        <f aca="false">IF(M82="","",G82/M82)</f>
        <v/>
      </c>
      <c r="Q82" s="12" t="n">
        <v>0.878</v>
      </c>
      <c r="R82" s="12" t="n">
        <v>0</v>
      </c>
      <c r="S82" s="10" t="n">
        <v>206.22</v>
      </c>
      <c r="T82" s="10" t="n">
        <v>246.86</v>
      </c>
      <c r="U82" s="10" t="n">
        <v>293.79</v>
      </c>
      <c r="V82" s="13" t="n">
        <v>0.926</v>
      </c>
      <c r="W82" s="9" t="s">
        <v>225</v>
      </c>
    </row>
    <row r="83" customFormat="false" ht="15" hidden="false" customHeight="false" outlineLevel="0" collapsed="false">
      <c r="A83" s="9" t="s">
        <v>223</v>
      </c>
      <c r="B83" s="9" t="s">
        <v>226</v>
      </c>
      <c r="C83" s="9" t="n">
        <v>2024</v>
      </c>
      <c r="D83" s="9" t="s">
        <v>81</v>
      </c>
      <c r="E83" s="9" t="n">
        <v>12</v>
      </c>
      <c r="F83" s="10" t="n">
        <v>29.2</v>
      </c>
      <c r="G83" s="10" t="n">
        <v>350.37</v>
      </c>
      <c r="H83" s="10" t="n">
        <v>204.25</v>
      </c>
      <c r="I83" s="10" t="n">
        <v>816.15</v>
      </c>
      <c r="J83" s="10" t="n">
        <v>799</v>
      </c>
      <c r="K83" s="10" t="n">
        <v>825.95</v>
      </c>
      <c r="L83" s="10" t="n">
        <v>764.47</v>
      </c>
      <c r="M83" s="10"/>
      <c r="N83" s="11" t="n">
        <f aca="false">IF(I83="","",G83/I83)</f>
        <v>0.429296085278442</v>
      </c>
      <c r="O83" s="11" t="n">
        <f aca="false">IF(I83="","",H83/I83)</f>
        <v>0.250260368804754</v>
      </c>
      <c r="P83" s="11" t="str">
        <f aca="false">IF(M83="","",G83/M83)</f>
        <v/>
      </c>
      <c r="Q83" s="12" t="n">
        <v>0.003</v>
      </c>
      <c r="R83" s="12" t="n">
        <v>0</v>
      </c>
      <c r="S83" s="10" t="n">
        <v>243.81</v>
      </c>
      <c r="T83" s="10" t="n">
        <v>327.24</v>
      </c>
      <c r="U83" s="10" t="n">
        <v>486.58</v>
      </c>
      <c r="V83" s="13" t="n">
        <v>0.929</v>
      </c>
      <c r="W83" s="9" t="s">
        <v>227</v>
      </c>
    </row>
    <row r="84" customFormat="false" ht="15" hidden="false" customHeight="false" outlineLevel="0" collapsed="false">
      <c r="A84" s="9" t="s">
        <v>228</v>
      </c>
      <c r="B84" s="9" t="s">
        <v>229</v>
      </c>
      <c r="C84" s="9" t="n">
        <v>2024</v>
      </c>
      <c r="D84" s="9" t="s">
        <v>204</v>
      </c>
      <c r="E84" s="9" t="n">
        <v>36</v>
      </c>
      <c r="F84" s="10" t="n">
        <v>7.4</v>
      </c>
      <c r="G84" s="10" t="n">
        <v>266.49</v>
      </c>
      <c r="H84" s="10" t="n">
        <v>97.31</v>
      </c>
      <c r="I84" s="10" t="n">
        <v>174.01</v>
      </c>
      <c r="J84" s="10" t="n">
        <v>174.01</v>
      </c>
      <c r="K84" s="10" t="n">
        <v>176.98</v>
      </c>
      <c r="L84" s="10" t="n">
        <v>175.04</v>
      </c>
      <c r="M84" s="10" t="n">
        <v>189</v>
      </c>
      <c r="N84" s="11" t="n">
        <f aca="false">IF(I84="","",G84/I84)</f>
        <v>1.53146370898224</v>
      </c>
      <c r="O84" s="11" t="n">
        <f aca="false">IF(I84="","",H84/I84)</f>
        <v>0.559220734440549</v>
      </c>
      <c r="P84" s="11" t="n">
        <f aca="false">IF(M84="","",G84/M84)</f>
        <v>1.41</v>
      </c>
      <c r="Q84" s="12" t="n">
        <v>1</v>
      </c>
      <c r="R84" s="12" t="n">
        <v>0.015</v>
      </c>
      <c r="S84" s="10" t="n">
        <v>215.8</v>
      </c>
      <c r="T84" s="10" t="n">
        <v>262.19</v>
      </c>
      <c r="U84" s="10" t="n">
        <v>323.64</v>
      </c>
      <c r="V84" s="13" t="n">
        <v>1</v>
      </c>
      <c r="W84" s="9" t="s">
        <v>230</v>
      </c>
    </row>
    <row r="85" customFormat="false" ht="15" hidden="false" customHeight="false" outlineLevel="0" collapsed="false">
      <c r="A85" s="9" t="s">
        <v>228</v>
      </c>
      <c r="B85" s="9" t="s">
        <v>231</v>
      </c>
      <c r="C85" s="9" t="n">
        <v>2024</v>
      </c>
      <c r="D85" s="9" t="s">
        <v>81</v>
      </c>
      <c r="E85" s="9" t="n">
        <v>12</v>
      </c>
      <c r="F85" s="10" t="n">
        <v>43.26</v>
      </c>
      <c r="G85" s="10" t="n">
        <v>519.16</v>
      </c>
      <c r="H85" s="10" t="n">
        <v>316.03</v>
      </c>
      <c r="I85" s="10" t="n">
        <v>908.88</v>
      </c>
      <c r="J85" s="10" t="n">
        <v>875</v>
      </c>
      <c r="K85" s="10" t="n">
        <v>940</v>
      </c>
      <c r="L85" s="10" t="n">
        <v>901.96</v>
      </c>
      <c r="M85" s="10" t="n">
        <v>299.88</v>
      </c>
      <c r="N85" s="11" t="n">
        <f aca="false">IF(I85="","",G85/I85)</f>
        <v>0.571208520376727</v>
      </c>
      <c r="O85" s="11" t="n">
        <f aca="false">IF(I85="","",H85/I85)</f>
        <v>0.347713669571341</v>
      </c>
      <c r="P85" s="11" t="n">
        <f aca="false">IF(M85="","",G85/M85)</f>
        <v>1.7312258236628</v>
      </c>
      <c r="Q85" s="12" t="n">
        <v>0.052</v>
      </c>
      <c r="R85" s="12" t="n">
        <v>0.011</v>
      </c>
      <c r="S85" s="10" t="n">
        <v>320.22</v>
      </c>
      <c r="T85" s="10" t="n">
        <v>462.09</v>
      </c>
      <c r="U85" s="10" t="n">
        <v>773.77</v>
      </c>
      <c r="V85" s="13" t="n">
        <v>1</v>
      </c>
      <c r="W85" s="9" t="s">
        <v>232</v>
      </c>
    </row>
    <row r="86" customFormat="false" ht="15" hidden="false" customHeight="false" outlineLevel="0" collapsed="false">
      <c r="A86" s="9" t="s">
        <v>233</v>
      </c>
      <c r="B86" s="9" t="s">
        <v>234</v>
      </c>
      <c r="C86" s="9" t="n">
        <v>2025</v>
      </c>
      <c r="D86" s="9" t="s">
        <v>204</v>
      </c>
      <c r="E86" s="9" t="n">
        <v>30</v>
      </c>
      <c r="F86" s="10" t="n">
        <v>5.52</v>
      </c>
      <c r="G86" s="10" t="n">
        <v>165.58</v>
      </c>
      <c r="H86" s="10" t="n">
        <v>52.23</v>
      </c>
      <c r="I86" s="10" t="n">
        <v>114.48</v>
      </c>
      <c r="J86" s="10" t="n">
        <v>114.47</v>
      </c>
      <c r="K86" s="10" t="n">
        <v>114.49</v>
      </c>
      <c r="L86" s="10" t="n">
        <v>113.31</v>
      </c>
      <c r="M86" s="10" t="n">
        <v>164.7</v>
      </c>
      <c r="N86" s="11" t="n">
        <f aca="false">IF(I86="","",G86/I86)</f>
        <v>1.44636617749825</v>
      </c>
      <c r="O86" s="11" t="n">
        <f aca="false">IF(I86="","",H86/I86)</f>
        <v>0.456236897274633</v>
      </c>
      <c r="P86" s="11" t="n">
        <f aca="false">IF(M86="","",G86/M86)</f>
        <v>1.005343047966</v>
      </c>
      <c r="Q86" s="12" t="n">
        <v>0.973</v>
      </c>
      <c r="R86" s="12" t="n">
        <v>0.044</v>
      </c>
      <c r="S86" s="10" t="n">
        <v>126.26</v>
      </c>
      <c r="T86" s="10" t="n">
        <v>157.07</v>
      </c>
      <c r="U86" s="10" t="n">
        <v>202.94</v>
      </c>
      <c r="V86" s="13" t="n">
        <v>1</v>
      </c>
      <c r="W86" s="9" t="s">
        <v>235</v>
      </c>
    </row>
    <row r="87" customFormat="false" ht="15" hidden="false" customHeight="false" outlineLevel="0" collapsed="false">
      <c r="A87" s="9" t="s">
        <v>233</v>
      </c>
      <c r="B87" s="9" t="s">
        <v>236</v>
      </c>
      <c r="C87" s="9" t="n">
        <v>2025</v>
      </c>
      <c r="D87" s="9" t="s">
        <v>81</v>
      </c>
      <c r="E87" s="9" t="n">
        <v>12</v>
      </c>
      <c r="F87" s="10" t="n">
        <v>15.79</v>
      </c>
      <c r="G87" s="10" t="n">
        <v>189.54</v>
      </c>
      <c r="H87" s="10" t="n">
        <v>93.84</v>
      </c>
      <c r="I87" s="10" t="n">
        <v>324.94</v>
      </c>
      <c r="J87" s="10" t="n">
        <v>311</v>
      </c>
      <c r="K87" s="10" t="n">
        <v>324.95</v>
      </c>
      <c r="L87" s="10" t="n">
        <v>317.37</v>
      </c>
      <c r="M87" s="10" t="n">
        <v>299.88</v>
      </c>
      <c r="N87" s="11" t="n">
        <f aca="false">IF(I87="","",G87/I87)</f>
        <v>0.58330768757309</v>
      </c>
      <c r="O87" s="11" t="n">
        <f aca="false">IF(I87="","",H87/I87)</f>
        <v>0.288791776943436</v>
      </c>
      <c r="P87" s="11" t="n">
        <f aca="false">IF(M87="","",G87/M87)</f>
        <v>0.632052821128451</v>
      </c>
      <c r="Q87" s="12" t="n">
        <v>0.062</v>
      </c>
      <c r="R87" s="12" t="n">
        <v>0.003</v>
      </c>
      <c r="S87" s="10" t="n">
        <v>130.29</v>
      </c>
      <c r="T87" s="10" t="n">
        <v>172.37</v>
      </c>
      <c r="U87" s="10" t="n">
        <v>249.42</v>
      </c>
      <c r="V87" s="13" t="n">
        <v>1</v>
      </c>
      <c r="W87" s="9" t="s">
        <v>237</v>
      </c>
    </row>
    <row r="88" customFormat="false" ht="15" hidden="false" customHeight="false" outlineLevel="0" collapsed="false">
      <c r="A88" s="9" t="s">
        <v>238</v>
      </c>
      <c r="B88" s="9" t="s">
        <v>239</v>
      </c>
      <c r="C88" s="9" t="n">
        <v>2025</v>
      </c>
      <c r="D88" s="9" t="s">
        <v>204</v>
      </c>
      <c r="E88" s="9" t="n">
        <v>30</v>
      </c>
      <c r="F88" s="10" t="n">
        <v>6.13</v>
      </c>
      <c r="G88" s="10" t="n">
        <v>183.89</v>
      </c>
      <c r="H88" s="10" t="n">
        <v>67.15</v>
      </c>
      <c r="I88" s="10" t="n">
        <v>166.99</v>
      </c>
      <c r="J88" s="10" t="n">
        <v>166.97</v>
      </c>
      <c r="K88" s="10" t="n">
        <v>168</v>
      </c>
      <c r="L88" s="10" t="n">
        <v>165.49</v>
      </c>
      <c r="M88" s="10" t="n">
        <v>164.7</v>
      </c>
      <c r="N88" s="11" t="n">
        <f aca="false">IF(I88="","",G88/I88)</f>
        <v>1.10120366489011</v>
      </c>
      <c r="O88" s="11" t="n">
        <f aca="false">IF(I88="","",H88/I88)</f>
        <v>0.402119887418408</v>
      </c>
      <c r="P88" s="11" t="n">
        <f aca="false">IF(M88="","",G88/M88)</f>
        <v>1.11651487553127</v>
      </c>
      <c r="Q88" s="12" t="n">
        <v>0.585</v>
      </c>
      <c r="R88" s="12" t="n">
        <v>0.009</v>
      </c>
      <c r="S88" s="10" t="n">
        <v>129.97</v>
      </c>
      <c r="T88" s="10" t="n">
        <v>176.53</v>
      </c>
      <c r="U88" s="10" t="n">
        <v>243.62</v>
      </c>
      <c r="V88" s="13" t="n">
        <v>0.944</v>
      </c>
      <c r="W88" s="9" t="s">
        <v>240</v>
      </c>
    </row>
    <row r="89" customFormat="false" ht="15" hidden="false" customHeight="false" outlineLevel="0" collapsed="false">
      <c r="A89" s="9" t="s">
        <v>238</v>
      </c>
      <c r="B89" s="9" t="s">
        <v>241</v>
      </c>
      <c r="C89" s="9" t="n">
        <v>2025</v>
      </c>
      <c r="D89" s="9" t="s">
        <v>81</v>
      </c>
      <c r="E89" s="9" t="n">
        <v>12</v>
      </c>
      <c r="F89" s="10" t="n">
        <v>32.47</v>
      </c>
      <c r="G89" s="10" t="n">
        <v>389.66</v>
      </c>
      <c r="H89" s="10" t="n">
        <v>233.04</v>
      </c>
      <c r="I89" s="10" t="n">
        <v>500</v>
      </c>
      <c r="J89" s="10" t="n">
        <v>499</v>
      </c>
      <c r="K89" s="10" t="n">
        <v>500</v>
      </c>
      <c r="L89" s="10" t="n">
        <v>496.92</v>
      </c>
      <c r="M89" s="10" t="n">
        <v>299.88</v>
      </c>
      <c r="N89" s="11" t="n">
        <f aca="false">IF(I89="","",G89/I89)</f>
        <v>0.77932</v>
      </c>
      <c r="O89" s="11" t="n">
        <f aca="false">IF(I89="","",H89/I89)</f>
        <v>0.46608</v>
      </c>
      <c r="P89" s="11" t="n">
        <f aca="false">IF(M89="","",G89/M89)</f>
        <v>1.29938642123516</v>
      </c>
      <c r="Q89" s="12" t="n">
        <v>0.182</v>
      </c>
      <c r="R89" s="12" t="n">
        <v>0.052</v>
      </c>
      <c r="S89" s="10" t="n">
        <v>219.84</v>
      </c>
      <c r="T89" s="10" t="n">
        <v>327.84</v>
      </c>
      <c r="U89" s="10" t="n">
        <v>666.51</v>
      </c>
      <c r="V89" s="13" t="n">
        <v>0.878</v>
      </c>
      <c r="W89" s="9" t="s">
        <v>242</v>
      </c>
    </row>
    <row r="90" customFormat="false" ht="15" hidden="false" customHeight="false" outlineLevel="0" collapsed="false">
      <c r="A90" s="9" t="s">
        <v>243</v>
      </c>
      <c r="B90" s="9" t="s">
        <v>244</v>
      </c>
      <c r="C90" s="9" t="n">
        <v>2025</v>
      </c>
      <c r="D90" s="9" t="s">
        <v>204</v>
      </c>
      <c r="E90" s="9" t="n">
        <v>30</v>
      </c>
      <c r="F90" s="10" t="n">
        <v>7.93</v>
      </c>
      <c r="G90" s="10" t="n">
        <v>237.91</v>
      </c>
      <c r="H90" s="10" t="n">
        <v>97.12</v>
      </c>
      <c r="I90" s="10" t="n">
        <v>255.66</v>
      </c>
      <c r="J90" s="10" t="n">
        <v>225</v>
      </c>
      <c r="K90" s="10" t="n">
        <v>264</v>
      </c>
      <c r="L90" s="10"/>
      <c r="M90" s="10" t="n">
        <v>209.7</v>
      </c>
      <c r="N90" s="11" t="n">
        <f aca="false">IF(I90="","",G90/I90)</f>
        <v>0.930571853242588</v>
      </c>
      <c r="O90" s="11" t="n">
        <f aca="false">IF(I90="","",H90/I90)</f>
        <v>0.379879527497458</v>
      </c>
      <c r="P90" s="11" t="n">
        <f aca="false">IF(M90="","",G90/M90)</f>
        <v>1.1345255126371</v>
      </c>
      <c r="Q90" s="12" t="n">
        <v>0.307</v>
      </c>
      <c r="R90" s="12" t="n">
        <v>0.003</v>
      </c>
      <c r="S90" s="10" t="n">
        <v>170.44</v>
      </c>
      <c r="T90" s="10" t="n">
        <v>225.5</v>
      </c>
      <c r="U90" s="10" t="n">
        <v>322.96</v>
      </c>
      <c r="V90" s="13" t="n">
        <v>0.953</v>
      </c>
      <c r="W90" s="9" t="s">
        <v>245</v>
      </c>
    </row>
    <row r="91" customFormat="false" ht="15" hidden="false" customHeight="false" outlineLevel="0" collapsed="false">
      <c r="A91" s="9" t="s">
        <v>243</v>
      </c>
      <c r="B91" s="9" t="s">
        <v>246</v>
      </c>
      <c r="C91" s="9" t="n">
        <v>2025</v>
      </c>
      <c r="D91" s="9" t="s">
        <v>81</v>
      </c>
      <c r="E91" s="9" t="n">
        <v>12</v>
      </c>
      <c r="F91" s="10" t="n">
        <v>69.28</v>
      </c>
      <c r="G91" s="10" t="n">
        <v>831.35</v>
      </c>
      <c r="H91" s="10" t="n">
        <v>540.08</v>
      </c>
      <c r="I91" s="10" t="n">
        <v>1661.8</v>
      </c>
      <c r="J91" s="10" t="n">
        <v>1256</v>
      </c>
      <c r="K91" s="10" t="n">
        <v>1680</v>
      </c>
      <c r="L91" s="10"/>
      <c r="M91" s="10" t="n">
        <v>455.88</v>
      </c>
      <c r="N91" s="11" t="n">
        <f aca="false">IF(I91="","",G91/I91)</f>
        <v>0.50027079070887</v>
      </c>
      <c r="O91" s="11" t="n">
        <f aca="false">IF(I91="","",H91/I91)</f>
        <v>0.324996991214346</v>
      </c>
      <c r="P91" s="11" t="n">
        <f aca="false">IF(M91="","",G91/M91)</f>
        <v>1.82361586382381</v>
      </c>
      <c r="Q91" s="12" t="n">
        <v>0.073</v>
      </c>
      <c r="R91" s="12" t="n">
        <v>0.02</v>
      </c>
      <c r="S91" s="10" t="n">
        <v>417.72</v>
      </c>
      <c r="T91" s="10" t="n">
        <v>704.3</v>
      </c>
      <c r="U91" s="10" t="n">
        <v>1381.74</v>
      </c>
      <c r="V91" s="13" t="n">
        <v>0.907</v>
      </c>
      <c r="W91" s="9" t="s">
        <v>247</v>
      </c>
    </row>
    <row r="92" customFormat="false" ht="15" hidden="false" customHeight="false" outlineLevel="0" collapsed="false">
      <c r="A92" s="9" t="s">
        <v>248</v>
      </c>
      <c r="B92" s="9" t="s">
        <v>249</v>
      </c>
      <c r="C92" s="9" t="n">
        <v>2025</v>
      </c>
      <c r="D92" s="9" t="s">
        <v>204</v>
      </c>
      <c r="E92" s="9" t="n">
        <v>30</v>
      </c>
      <c r="F92" s="10" t="n">
        <v>7.9</v>
      </c>
      <c r="G92" s="10" t="n">
        <v>236.97</v>
      </c>
      <c r="H92" s="10" t="n">
        <v>107.72</v>
      </c>
      <c r="I92" s="10" t="n">
        <v>188</v>
      </c>
      <c r="J92" s="10" t="n">
        <v>188</v>
      </c>
      <c r="K92" s="10" t="n">
        <v>194</v>
      </c>
      <c r="L92" s="10" t="n">
        <v>188.28</v>
      </c>
      <c r="M92" s="10" t="n">
        <v>164.7</v>
      </c>
      <c r="N92" s="11" t="n">
        <f aca="false">IF(I92="","",G92/I92)</f>
        <v>1.26047872340426</v>
      </c>
      <c r="O92" s="11" t="n">
        <f aca="false">IF(I92="","",H92/I92)</f>
        <v>0.572978723404255</v>
      </c>
      <c r="P92" s="11" t="n">
        <f aca="false">IF(M92="","",G92/M92)</f>
        <v>1.43879781420765</v>
      </c>
      <c r="Q92" s="12" t="n">
        <v>0.827</v>
      </c>
      <c r="R92" s="12" t="n">
        <v>0.05</v>
      </c>
      <c r="S92" s="10" t="n">
        <v>175.49</v>
      </c>
      <c r="T92" s="10" t="n">
        <v>228.87</v>
      </c>
      <c r="U92" s="10" t="n">
        <v>309.88</v>
      </c>
      <c r="V92" s="13" t="n">
        <v>1</v>
      </c>
      <c r="W92" s="9" t="s">
        <v>250</v>
      </c>
    </row>
    <row r="93" customFormat="false" ht="15" hidden="false" customHeight="false" outlineLevel="0" collapsed="false">
      <c r="A93" s="9" t="s">
        <v>248</v>
      </c>
      <c r="B93" s="9" t="s">
        <v>251</v>
      </c>
      <c r="C93" s="9" t="n">
        <v>2025</v>
      </c>
      <c r="D93" s="9" t="s">
        <v>81</v>
      </c>
      <c r="E93" s="9" t="n">
        <v>12</v>
      </c>
      <c r="F93" s="10" t="n">
        <v>40.47</v>
      </c>
      <c r="G93" s="10" t="n">
        <v>485.6</v>
      </c>
      <c r="H93" s="10" t="n">
        <v>301.1</v>
      </c>
      <c r="I93" s="10" t="n">
        <v>728.99</v>
      </c>
      <c r="J93" s="10" t="n">
        <v>714.99</v>
      </c>
      <c r="K93" s="10" t="n">
        <v>728.99</v>
      </c>
      <c r="L93" s="10" t="n">
        <v>739.19</v>
      </c>
      <c r="M93" s="10" t="n">
        <v>299.88</v>
      </c>
      <c r="N93" s="11" t="n">
        <f aca="false">IF(I93="","",G93/I93)</f>
        <v>0.666127107367728</v>
      </c>
      <c r="O93" s="11" t="n">
        <f aca="false">IF(I93="","",H93/I93)</f>
        <v>0.413037215874018</v>
      </c>
      <c r="P93" s="11" t="n">
        <f aca="false">IF(M93="","",G93/M93)</f>
        <v>1.61931439242364</v>
      </c>
      <c r="Q93" s="12" t="n">
        <v>0.082</v>
      </c>
      <c r="R93" s="12" t="n">
        <v>0.03</v>
      </c>
      <c r="S93" s="10" t="n">
        <v>301.76</v>
      </c>
      <c r="T93" s="10" t="n">
        <v>426.79</v>
      </c>
      <c r="U93" s="10" t="n">
        <v>685.35</v>
      </c>
      <c r="V93" s="13" t="n">
        <v>1</v>
      </c>
      <c r="W93" s="9" t="s">
        <v>252</v>
      </c>
    </row>
    <row r="94" customFormat="false" ht="15" hidden="false" customHeight="false" outlineLevel="0" collapsed="false">
      <c r="A94" s="9" t="s">
        <v>253</v>
      </c>
      <c r="B94" s="9" t="s">
        <v>254</v>
      </c>
      <c r="C94" s="9" t="n">
        <v>2025</v>
      </c>
      <c r="D94" s="9" t="s">
        <v>204</v>
      </c>
      <c r="E94" s="9" t="n">
        <v>30</v>
      </c>
      <c r="F94" s="10" t="n">
        <v>5.11</v>
      </c>
      <c r="G94" s="10" t="n">
        <v>153.36</v>
      </c>
      <c r="H94" s="10" t="n">
        <v>48.09</v>
      </c>
      <c r="I94" s="10" t="n">
        <v>127.95</v>
      </c>
      <c r="J94" s="10" t="n">
        <v>120.99</v>
      </c>
      <c r="K94" s="10" t="n">
        <v>127.98</v>
      </c>
      <c r="L94" s="10" t="n">
        <v>119.89</v>
      </c>
      <c r="M94" s="10" t="n">
        <v>209.7</v>
      </c>
      <c r="N94" s="11" t="n">
        <f aca="false">IF(I94="","",G94/I94)</f>
        <v>1.19859320046893</v>
      </c>
      <c r="O94" s="11" t="n">
        <f aca="false">IF(I94="","",H94/I94)</f>
        <v>0.375849941383353</v>
      </c>
      <c r="P94" s="11" t="n">
        <f aca="false">IF(M94="","",G94/M94)</f>
        <v>0.731330472103004</v>
      </c>
      <c r="Q94" s="12" t="n">
        <v>0.583</v>
      </c>
      <c r="R94" s="12" t="n">
        <v>0.045</v>
      </c>
      <c r="S94" s="10" t="n">
        <v>111.07</v>
      </c>
      <c r="T94" s="10" t="n">
        <v>132.81</v>
      </c>
      <c r="U94" s="10" t="n">
        <v>221.61</v>
      </c>
      <c r="V94" s="13" t="n">
        <v>0.996</v>
      </c>
      <c r="W94" s="9" t="s">
        <v>255</v>
      </c>
    </row>
    <row r="95" customFormat="false" ht="15" hidden="false" customHeight="false" outlineLevel="0" collapsed="false">
      <c r="A95" s="9" t="s">
        <v>253</v>
      </c>
      <c r="B95" s="9" t="s">
        <v>256</v>
      </c>
      <c r="C95" s="9" t="n">
        <v>2025</v>
      </c>
      <c r="D95" s="9" t="s">
        <v>81</v>
      </c>
      <c r="E95" s="9" t="n">
        <v>12</v>
      </c>
      <c r="F95" s="10" t="n">
        <v>21.99</v>
      </c>
      <c r="G95" s="10" t="n">
        <v>263.84</v>
      </c>
      <c r="H95" s="10" t="n">
        <v>142.5</v>
      </c>
      <c r="I95" s="10" t="n">
        <v>420.9</v>
      </c>
      <c r="J95" s="10" t="n">
        <v>414</v>
      </c>
      <c r="K95" s="10" t="n">
        <v>422.99</v>
      </c>
      <c r="L95" s="10" t="n">
        <v>406.37</v>
      </c>
      <c r="M95" s="10" t="n">
        <v>455.88</v>
      </c>
      <c r="N95" s="11" t="n">
        <f aca="false">IF(I95="","",G95/I95)</f>
        <v>0.626847232121644</v>
      </c>
      <c r="O95" s="11" t="n">
        <f aca="false">IF(I95="","",H95/I95)</f>
        <v>0.33856022808268</v>
      </c>
      <c r="P95" s="11" t="n">
        <f aca="false">IF(M95="","",G95/M95)</f>
        <v>0.57874879354216</v>
      </c>
      <c r="Q95" s="12" t="n">
        <v>0.064</v>
      </c>
      <c r="R95" s="12" t="n">
        <v>0.019</v>
      </c>
      <c r="S95" s="10" t="n">
        <v>180.42</v>
      </c>
      <c r="T95" s="10" t="n">
        <v>219.02</v>
      </c>
      <c r="U95" s="10" t="n">
        <v>347.85</v>
      </c>
      <c r="V95" s="13" t="n">
        <v>0.987</v>
      </c>
      <c r="W95" s="9" t="s">
        <v>257</v>
      </c>
    </row>
    <row r="96" customFormat="false" ht="15" hidden="false" customHeight="false" outlineLevel="0" collapsed="false">
      <c r="A96" s="9" t="s">
        <v>258</v>
      </c>
      <c r="B96" s="9" t="s">
        <v>259</v>
      </c>
      <c r="C96" s="9" t="n">
        <v>2025</v>
      </c>
      <c r="D96" s="9" t="s">
        <v>204</v>
      </c>
      <c r="E96" s="9" t="n">
        <v>30</v>
      </c>
      <c r="F96" s="10" t="n">
        <v>5.59</v>
      </c>
      <c r="G96" s="10" t="n">
        <v>167.69</v>
      </c>
      <c r="H96" s="10" t="n">
        <v>58.46</v>
      </c>
      <c r="I96" s="10" t="n">
        <v>135.39</v>
      </c>
      <c r="J96" s="10" t="n">
        <v>120.39</v>
      </c>
      <c r="K96" s="10" t="n">
        <v>135.39</v>
      </c>
      <c r="L96" s="10" t="n">
        <v>134.44</v>
      </c>
      <c r="M96" s="10" t="n">
        <v>209.7</v>
      </c>
      <c r="N96" s="11" t="n">
        <f aca="false">IF(I96="","",G96/I96)</f>
        <v>1.23857005687274</v>
      </c>
      <c r="O96" s="11" t="n">
        <f aca="false">IF(I96="","",H96/I96)</f>
        <v>0.431789644730039</v>
      </c>
      <c r="P96" s="11" t="n">
        <f aca="false">IF(M96="","",G96/M96)</f>
        <v>0.799666189794945</v>
      </c>
      <c r="Q96" s="12" t="n">
        <v>0.765</v>
      </c>
      <c r="R96" s="12" t="n">
        <v>0.015</v>
      </c>
      <c r="S96" s="10" t="n">
        <v>121.31</v>
      </c>
      <c r="T96" s="10" t="n">
        <v>161.81</v>
      </c>
      <c r="U96" s="10" t="n">
        <v>224.18</v>
      </c>
      <c r="V96" s="13" t="n">
        <v>0.993</v>
      </c>
      <c r="W96" s="9" t="s">
        <v>260</v>
      </c>
    </row>
    <row r="97" customFormat="false" ht="15" hidden="false" customHeight="false" outlineLevel="0" collapsed="false">
      <c r="A97" s="9" t="s">
        <v>258</v>
      </c>
      <c r="B97" s="9" t="s">
        <v>261</v>
      </c>
      <c r="C97" s="9" t="n">
        <v>2025</v>
      </c>
      <c r="D97" s="9" t="s">
        <v>81</v>
      </c>
      <c r="E97" s="9" t="n">
        <v>12</v>
      </c>
      <c r="F97" s="10" t="n">
        <v>33.62</v>
      </c>
      <c r="G97" s="10" t="n">
        <v>403.45</v>
      </c>
      <c r="H97" s="10" t="n">
        <v>234.65</v>
      </c>
      <c r="I97" s="10" t="n">
        <v>492.67</v>
      </c>
      <c r="J97" s="10" t="n">
        <v>449.99</v>
      </c>
      <c r="K97" s="10" t="n">
        <v>497</v>
      </c>
      <c r="L97" s="10" t="n">
        <v>466.2</v>
      </c>
      <c r="M97" s="10" t="n">
        <v>455.88</v>
      </c>
      <c r="N97" s="11" t="n">
        <f aca="false">IF(I97="","",G97/I97)</f>
        <v>0.818905149491546</v>
      </c>
      <c r="O97" s="11" t="n">
        <f aca="false">IF(I97="","",H97/I97)</f>
        <v>0.476282298495951</v>
      </c>
      <c r="P97" s="11" t="n">
        <f aca="false">IF(M97="","",G97/M97)</f>
        <v>0.884991664473107</v>
      </c>
      <c r="Q97" s="12" t="n">
        <v>0.106</v>
      </c>
      <c r="R97" s="12" t="n">
        <v>0.041</v>
      </c>
      <c r="S97" s="10" t="n">
        <v>288.48</v>
      </c>
      <c r="T97" s="10" t="n">
        <v>372.01</v>
      </c>
      <c r="U97" s="10" t="n">
        <v>497.75</v>
      </c>
      <c r="V97" s="13" t="n">
        <v>0.985</v>
      </c>
      <c r="W97" s="9" t="s">
        <v>262</v>
      </c>
    </row>
    <row r="98" customFormat="false" ht="15" hidden="false" customHeight="false" outlineLevel="0" collapsed="false">
      <c r="A98" s="9" t="s">
        <v>263</v>
      </c>
      <c r="B98" s="9" t="s">
        <v>264</v>
      </c>
      <c r="C98" s="9" t="n">
        <v>2026</v>
      </c>
      <c r="D98" s="9" t="s">
        <v>204</v>
      </c>
      <c r="E98" s="9" t="n">
        <v>30</v>
      </c>
      <c r="F98" s="10" t="n">
        <v>5.24</v>
      </c>
      <c r="G98" s="10" t="n">
        <v>157.21</v>
      </c>
      <c r="H98" s="10" t="n">
        <v>52.71</v>
      </c>
      <c r="I98" s="10" t="n">
        <v>114.95</v>
      </c>
      <c r="J98" s="10" t="n">
        <v>110</v>
      </c>
      <c r="K98" s="10" t="n">
        <v>117.97</v>
      </c>
      <c r="L98" s="10" t="n">
        <v>112.24</v>
      </c>
      <c r="M98" s="10" t="n">
        <v>164.7</v>
      </c>
      <c r="N98" s="11" t="n">
        <f aca="false">IF(I98="","",G98/I98)</f>
        <v>1.36763810352327</v>
      </c>
      <c r="O98" s="11" t="n">
        <f aca="false">IF(I98="","",H98/I98)</f>
        <v>0.458547194432362</v>
      </c>
      <c r="P98" s="11" t="n">
        <f aca="false">IF(M98="","",G98/M98)</f>
        <v>0.954523375834851</v>
      </c>
      <c r="Q98" s="12" t="n">
        <v>0.948</v>
      </c>
      <c r="R98" s="12" t="n">
        <v>0.006</v>
      </c>
      <c r="S98" s="10" t="n">
        <v>122.52</v>
      </c>
      <c r="T98" s="10" t="n">
        <v>154.35</v>
      </c>
      <c r="U98" s="10" t="n">
        <v>196.49</v>
      </c>
      <c r="V98" s="13" t="n">
        <v>0.991</v>
      </c>
      <c r="W98" s="9" t="s">
        <v>265</v>
      </c>
    </row>
    <row r="99" customFormat="false" ht="15" hidden="false" customHeight="false" outlineLevel="0" collapsed="false">
      <c r="A99" s="9" t="s">
        <v>263</v>
      </c>
      <c r="B99" s="9" t="s">
        <v>266</v>
      </c>
      <c r="C99" s="9" t="n">
        <v>2026</v>
      </c>
      <c r="D99" s="9" t="s">
        <v>81</v>
      </c>
      <c r="E99" s="9" t="n">
        <v>12</v>
      </c>
      <c r="F99" s="10" t="n">
        <v>17.22</v>
      </c>
      <c r="G99" s="10" t="n">
        <v>206.69</v>
      </c>
      <c r="H99" s="10" t="n">
        <v>104.22</v>
      </c>
      <c r="I99" s="10" t="n">
        <v>419.89</v>
      </c>
      <c r="J99" s="10" t="n">
        <v>417.94</v>
      </c>
      <c r="K99" s="10" t="n">
        <v>420</v>
      </c>
      <c r="L99" s="10" t="n">
        <v>422.62</v>
      </c>
      <c r="M99" s="10" t="n">
        <v>323.88</v>
      </c>
      <c r="N99" s="11" t="n">
        <f aca="false">IF(I99="","",G99/I99)</f>
        <v>0.492247969706352</v>
      </c>
      <c r="O99" s="11" t="n">
        <f aca="false">IF(I99="","",H99/I99)</f>
        <v>0.248207863964372</v>
      </c>
      <c r="P99" s="11" t="n">
        <f aca="false">IF(M99="","",G99/M99)</f>
        <v>0.638168457453378</v>
      </c>
      <c r="Q99" s="12" t="n">
        <v>0.011</v>
      </c>
      <c r="R99" s="12" t="n">
        <v>0.004</v>
      </c>
      <c r="S99" s="10" t="n">
        <v>141.07</v>
      </c>
      <c r="T99" s="10" t="n">
        <v>196.55</v>
      </c>
      <c r="U99" s="10" t="n">
        <v>275.56</v>
      </c>
      <c r="V99" s="13" t="n">
        <v>0.966</v>
      </c>
      <c r="W99" s="9" t="s">
        <v>267</v>
      </c>
    </row>
    <row r="100" customFormat="false" ht="15" hidden="false" customHeight="false" outlineLevel="0" collapsed="false">
      <c r="A100" s="9" t="s">
        <v>268</v>
      </c>
      <c r="B100" s="9" t="s">
        <v>269</v>
      </c>
      <c r="C100" s="9" t="n">
        <v>2026</v>
      </c>
      <c r="D100" s="9" t="s">
        <v>204</v>
      </c>
      <c r="E100" s="9" t="n">
        <v>30</v>
      </c>
      <c r="F100" s="10" t="n">
        <v>4.43</v>
      </c>
      <c r="G100" s="10" t="n">
        <v>132.79</v>
      </c>
      <c r="H100" s="10" t="n">
        <v>36.42</v>
      </c>
      <c r="I100" s="10" t="n">
        <v>155.85</v>
      </c>
      <c r="J100" s="10" t="n">
        <v>150.85</v>
      </c>
      <c r="K100" s="10" t="n">
        <v>155.95</v>
      </c>
      <c r="L100" s="10" t="n">
        <v>152.92</v>
      </c>
      <c r="M100" s="10" t="n">
        <v>209.7</v>
      </c>
      <c r="N100" s="11" t="n">
        <f aca="false">IF(I100="","",G100/I100)</f>
        <v>0.852037215271094</v>
      </c>
      <c r="O100" s="11" t="n">
        <f aca="false">IF(I100="","",H100/I100)</f>
        <v>0.233686236766121</v>
      </c>
      <c r="P100" s="11" t="n">
        <f aca="false">IF(M100="","",G100/M100)</f>
        <v>0.633237958989032</v>
      </c>
      <c r="Q100" s="12" t="n">
        <v>0.197</v>
      </c>
      <c r="R100" s="12" t="n">
        <v>0</v>
      </c>
      <c r="S100" s="10" t="n">
        <v>99.89</v>
      </c>
      <c r="T100" s="10" t="n">
        <v>127.96</v>
      </c>
      <c r="U100" s="10" t="n">
        <v>173.03</v>
      </c>
      <c r="V100" s="13" t="n">
        <v>0.917</v>
      </c>
      <c r="W100" s="9" t="s">
        <v>270</v>
      </c>
    </row>
    <row r="101" customFormat="false" ht="15" hidden="false" customHeight="false" outlineLevel="0" collapsed="false">
      <c r="A101" s="9" t="s">
        <v>268</v>
      </c>
      <c r="B101" s="9" t="s">
        <v>271</v>
      </c>
      <c r="C101" s="9" t="n">
        <v>2026</v>
      </c>
      <c r="D101" s="9" t="s">
        <v>81</v>
      </c>
      <c r="E101" s="9" t="n">
        <v>12</v>
      </c>
      <c r="F101" s="10" t="n">
        <v>46.55</v>
      </c>
      <c r="G101" s="10" t="n">
        <v>558.64</v>
      </c>
      <c r="H101" s="10" t="n">
        <v>368.77</v>
      </c>
      <c r="I101" s="10" t="n">
        <v>714.96</v>
      </c>
      <c r="J101" s="10" t="n">
        <v>700</v>
      </c>
      <c r="K101" s="10" t="n">
        <v>720</v>
      </c>
      <c r="L101" s="10" t="n">
        <v>722.14</v>
      </c>
      <c r="M101" s="10" t="n">
        <v>455.88</v>
      </c>
      <c r="N101" s="11" t="n">
        <f aca="false">IF(I101="","",G101/I101)</f>
        <v>0.781358397672597</v>
      </c>
      <c r="O101" s="11" t="n">
        <f aca="false">IF(I101="","",H101/I101)</f>
        <v>0.515791093208012</v>
      </c>
      <c r="P101" s="11" t="n">
        <f aca="false">IF(M101="","",G101/M101)</f>
        <v>1.22541019566553</v>
      </c>
      <c r="Q101" s="12" t="n">
        <v>0.148</v>
      </c>
      <c r="R101" s="12" t="n">
        <v>0.027</v>
      </c>
      <c r="S101" s="10" t="n">
        <v>299.66</v>
      </c>
      <c r="T101" s="10" t="n">
        <v>454.37</v>
      </c>
      <c r="U101" s="10" t="n">
        <v>822.16</v>
      </c>
      <c r="V101" s="13" t="n">
        <v>0.9</v>
      </c>
      <c r="W101" s="9" t="s">
        <v>272</v>
      </c>
    </row>
    <row r="102" customFormat="false" ht="15" hidden="false" customHeight="false" outlineLevel="0" collapsed="false">
      <c r="A102" s="9" t="s">
        <v>273</v>
      </c>
      <c r="B102" s="9" t="s">
        <v>274</v>
      </c>
      <c r="C102" s="9" t="n">
        <v>2026</v>
      </c>
      <c r="D102" s="9" t="s">
        <v>204</v>
      </c>
      <c r="E102" s="9" t="n">
        <v>30</v>
      </c>
      <c r="F102" s="10" t="n">
        <v>4.95</v>
      </c>
      <c r="G102" s="10" t="n">
        <v>148.48</v>
      </c>
      <c r="H102" s="10" t="n">
        <v>42.79</v>
      </c>
      <c r="I102" s="10" t="n">
        <v>144.94</v>
      </c>
      <c r="J102" s="10" t="n">
        <v>132.84</v>
      </c>
      <c r="K102" s="10" t="n">
        <v>144.97</v>
      </c>
      <c r="L102" s="10" t="n">
        <v>143.27</v>
      </c>
      <c r="M102" s="10" t="n">
        <v>164.7</v>
      </c>
      <c r="N102" s="11" t="n">
        <f aca="false">IF(I102="","",G102/I102)</f>
        <v>1.02442389954464</v>
      </c>
      <c r="O102" s="11" t="n">
        <f aca="false">IF(I102="","",H102/I102)</f>
        <v>0.295225610597489</v>
      </c>
      <c r="P102" s="11" t="n">
        <f aca="false">IF(M102="","",G102/M102)</f>
        <v>0.901517911353977</v>
      </c>
      <c r="Q102" s="12" t="n">
        <v>0.435</v>
      </c>
      <c r="R102" s="12" t="n">
        <v>0.001</v>
      </c>
      <c r="S102" s="10" t="n">
        <v>118.63</v>
      </c>
      <c r="T102" s="10" t="n">
        <v>140.68</v>
      </c>
      <c r="U102" s="10" t="n">
        <v>190.5</v>
      </c>
      <c r="V102" s="13" t="n">
        <v>0.894</v>
      </c>
      <c r="W102" s="9" t="s">
        <v>275</v>
      </c>
    </row>
    <row r="103" customFormat="false" ht="15" hidden="false" customHeight="false" outlineLevel="0" collapsed="false">
      <c r="A103" s="9" t="s">
        <v>273</v>
      </c>
      <c r="B103" s="9" t="s">
        <v>276</v>
      </c>
      <c r="C103" s="9" t="n">
        <v>2026</v>
      </c>
      <c r="D103" s="9" t="s">
        <v>81</v>
      </c>
      <c r="E103" s="9" t="n">
        <v>12</v>
      </c>
      <c r="F103" s="10" t="n">
        <v>28.94</v>
      </c>
      <c r="G103" s="10" t="n">
        <v>347.32</v>
      </c>
      <c r="H103" s="10" t="n">
        <v>197.89</v>
      </c>
      <c r="I103" s="10" t="n">
        <v>503</v>
      </c>
      <c r="J103" s="10" t="n">
        <v>499.99</v>
      </c>
      <c r="K103" s="10" t="n">
        <v>508.69</v>
      </c>
      <c r="L103" s="10" t="n">
        <v>506.75</v>
      </c>
      <c r="M103" s="10" t="n">
        <v>323.88</v>
      </c>
      <c r="N103" s="11" t="n">
        <f aca="false">IF(I103="","",G103/I103)</f>
        <v>0.690497017892644</v>
      </c>
      <c r="O103" s="11" t="n">
        <f aca="false">IF(I103="","",H103/I103)</f>
        <v>0.393419483101392</v>
      </c>
      <c r="P103" s="11" t="n">
        <f aca="false">IF(M103="","",G103/M103)</f>
        <v>1.07237248363591</v>
      </c>
      <c r="Q103" s="12" t="n">
        <v>0.104</v>
      </c>
      <c r="R103" s="12" t="n">
        <v>0.041</v>
      </c>
      <c r="S103" s="10" t="n">
        <v>203.93</v>
      </c>
      <c r="T103" s="10" t="n">
        <v>293.78</v>
      </c>
      <c r="U103" s="10" t="n">
        <v>513.85</v>
      </c>
      <c r="V103" s="13" t="n">
        <v>0.903</v>
      </c>
      <c r="W103" s="9" t="s">
        <v>277</v>
      </c>
    </row>
    <row r="104" customFormat="false" ht="15" hidden="false" customHeight="false" outlineLevel="0" collapsed="false">
      <c r="A104" s="9" t="s">
        <v>278</v>
      </c>
      <c r="B104" s="9" t="s">
        <v>279</v>
      </c>
      <c r="C104" s="9" t="n">
        <v>2026</v>
      </c>
      <c r="D104" s="9" t="s">
        <v>204</v>
      </c>
      <c r="E104" s="9" t="n">
        <v>30</v>
      </c>
      <c r="F104" s="10" t="n">
        <v>6.9</v>
      </c>
      <c r="G104" s="10" t="n">
        <v>207.02</v>
      </c>
      <c r="H104" s="10" t="n">
        <v>69.86</v>
      </c>
      <c r="I104" s="10" t="n">
        <v>150.96</v>
      </c>
      <c r="J104" s="10" t="n">
        <v>150.96</v>
      </c>
      <c r="K104" s="10" t="n">
        <v>152</v>
      </c>
      <c r="L104" s="10" t="n">
        <v>151.0244</v>
      </c>
      <c r="M104" s="10" t="n">
        <v>164.7</v>
      </c>
      <c r="N104" s="11" t="n">
        <f aca="false">IF(I104="","",G104/I104)</f>
        <v>1.37135665076842</v>
      </c>
      <c r="O104" s="11" t="n">
        <f aca="false">IF(I104="","",H104/I104)</f>
        <v>0.462771595124536</v>
      </c>
      <c r="P104" s="11" t="n">
        <f aca="false">IF(M104="","",G104/M104)</f>
        <v>1.25695203400121</v>
      </c>
      <c r="Q104" s="12" t="n">
        <v>0.961</v>
      </c>
      <c r="R104" s="12" t="n">
        <v>0.003</v>
      </c>
      <c r="S104" s="10" t="n">
        <v>163.46</v>
      </c>
      <c r="T104" s="10" t="n">
        <v>203.06</v>
      </c>
      <c r="U104" s="10" t="n">
        <v>255.82</v>
      </c>
      <c r="V104" s="13" t="n">
        <v>0.913</v>
      </c>
      <c r="W104" s="9" t="s">
        <v>280</v>
      </c>
    </row>
    <row r="105" customFormat="false" ht="15" hidden="false" customHeight="false" outlineLevel="0" collapsed="false">
      <c r="A105" s="9" t="s">
        <v>278</v>
      </c>
      <c r="B105" s="9" t="s">
        <v>281</v>
      </c>
      <c r="C105" s="9" t="n">
        <v>2026</v>
      </c>
      <c r="D105" s="9" t="s">
        <v>81</v>
      </c>
      <c r="E105" s="9" t="n">
        <v>12</v>
      </c>
      <c r="F105" s="10" t="n">
        <v>34.27</v>
      </c>
      <c r="G105" s="10" t="n">
        <v>411.19</v>
      </c>
      <c r="H105" s="10" t="n">
        <v>235.08</v>
      </c>
      <c r="I105" s="10" t="n">
        <v>456.84</v>
      </c>
      <c r="J105" s="10" t="n">
        <v>456.84</v>
      </c>
      <c r="K105" s="10" t="n">
        <v>456.85</v>
      </c>
      <c r="L105" s="10" t="n">
        <v>454.39</v>
      </c>
      <c r="M105" s="10" t="n">
        <v>323.88</v>
      </c>
      <c r="N105" s="11" t="n">
        <f aca="false">IF(I105="","",G105/I105)</f>
        <v>0.900074424306103</v>
      </c>
      <c r="O105" s="11" t="n">
        <f aca="false">IF(I105="","",H105/I105)</f>
        <v>0.51457840819543</v>
      </c>
      <c r="P105" s="11" t="n">
        <f aca="false">IF(M105="","",G105/M105)</f>
        <v>1.2695751512906</v>
      </c>
      <c r="Q105" s="12" t="n">
        <v>0.232</v>
      </c>
      <c r="R105" s="12" t="n">
        <v>0.057</v>
      </c>
      <c r="S105" s="10" t="n">
        <v>275.5</v>
      </c>
      <c r="T105" s="10" t="n">
        <v>368.32</v>
      </c>
      <c r="U105" s="10" t="n">
        <v>609.35</v>
      </c>
      <c r="V105" s="13" t="n">
        <v>0.932</v>
      </c>
      <c r="W105" s="9" t="s">
        <v>282</v>
      </c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customFormat="false" ht="15" hidden="false" customHeight="false" outlineLevel="0" collapsed="false">
      <c r="A108" s="4" t="s">
        <v>283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customFormat="false" ht="39.55" hidden="false" customHeight="false" outlineLevel="0" collapsed="false">
      <c r="A109" s="8" t="s">
        <v>16</v>
      </c>
      <c r="B109" s="8" t="s">
        <v>284</v>
      </c>
      <c r="C109" s="8" t="s">
        <v>285</v>
      </c>
      <c r="D109" s="8" t="s">
        <v>286</v>
      </c>
      <c r="E109" s="8" t="s">
        <v>287</v>
      </c>
      <c r="F109" s="8" t="s">
        <v>288</v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customFormat="false" ht="15" hidden="false" customHeight="false" outlineLevel="0" collapsed="false">
      <c r="A110" s="5" t="s">
        <v>38</v>
      </c>
      <c r="B110" s="5" t="n">
        <f aca="false">COUNTIFS($D$7:$D$105,A110,$I$7:$I$105,"&gt;0")</f>
        <v>31</v>
      </c>
      <c r="C110" s="11" t="n">
        <f aca="false">AVERAGEIFS($N$7:$N$105,$D$7:$D$105,A110)</f>
        <v>0.942467898049667</v>
      </c>
      <c r="D110" s="11" t="n">
        <f aca="false">AVERAGEIFS($O$7:$O$105,$D$7:$D$105,A110)</f>
        <v>0.294827165452585</v>
      </c>
      <c r="E110" s="14" t="n">
        <f aca="false">AVERAGEIFS($Q$7:$Q$105,$D$7:$D$105,A110)</f>
        <v>0.404903225806452</v>
      </c>
      <c r="F110" s="14" t="n">
        <f aca="false">AVERAGEIFS($R$7:$R$105,$D$7:$D$105,A110)</f>
        <v>0.00338709677419355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customFormat="false" ht="15" hidden="false" customHeight="false" outlineLevel="0" collapsed="false">
      <c r="A111" s="5" t="s">
        <v>100</v>
      </c>
      <c r="B111" s="5" t="n">
        <f aca="false">COUNTIFS($D$7:$D$105,A111,$I$7:$I$105,"&gt;0")</f>
        <v>15</v>
      </c>
      <c r="C111" s="11" t="n">
        <f aca="false">AVERAGEIFS($N$7:$N$105,$D$7:$D$105,A111)</f>
        <v>0.822871675199741</v>
      </c>
      <c r="D111" s="11" t="n">
        <f aca="false">AVERAGEIFS($O$7:$O$105,$D$7:$D$105,A111)</f>
        <v>0.343633713809414</v>
      </c>
      <c r="E111" s="14" t="n">
        <f aca="false">AVERAGEIFS($Q$7:$Q$105,$D$7:$D$105,A111)</f>
        <v>0.219866666666667</v>
      </c>
      <c r="F111" s="14" t="n">
        <f aca="false">AVERAGEIFS($R$7:$R$105,$D$7:$D$105,A111)</f>
        <v>0.00693333333333333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customFormat="false" ht="15" hidden="false" customHeight="false" outlineLevel="0" collapsed="false">
      <c r="A112" s="5" t="s">
        <v>204</v>
      </c>
      <c r="B112" s="5" t="n">
        <f aca="false">COUNTIFS($D$7:$D$105,A112,$I$7:$I$105,"&gt;0")</f>
        <v>16</v>
      </c>
      <c r="C112" s="11" t="n">
        <f aca="false">AVERAGEIFS($N$7:$N$105,$D$7:$D$105,A112)</f>
        <v>1.26874270789463</v>
      </c>
      <c r="D112" s="11" t="n">
        <f aca="false">AVERAGEIFS($O$7:$O$105,$D$7:$D$105,A112)</f>
        <v>0.474184600798582</v>
      </c>
      <c r="E112" s="14" t="n">
        <f aca="false">AVERAGEIFS($Q$7:$Q$105,$D$7:$D$105,A112)</f>
        <v>0.771</v>
      </c>
      <c r="F112" s="14" t="n">
        <f aca="false">AVERAGEIFS($R$7:$R$105,$D$7:$D$105,A112)</f>
        <v>0.0228125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customFormat="false" ht="15" hidden="false" customHeight="false" outlineLevel="0" collapsed="false">
      <c r="A113" s="5" t="s">
        <v>81</v>
      </c>
      <c r="B113" s="5" t="n">
        <f aca="false">COUNTIFS($D$7:$D$105,A113,$I$7:$I$105,"&gt;0")</f>
        <v>33</v>
      </c>
      <c r="C113" s="11" t="n">
        <f aca="false">AVERAGEIFS($N$7:$N$105,$D$7:$D$105,A113)</f>
        <v>0.575271961938689</v>
      </c>
      <c r="D113" s="11" t="n">
        <f aca="false">AVERAGEIFS($O$7:$O$105,$D$7:$D$105,A113)</f>
        <v>0.327759678762949</v>
      </c>
      <c r="E113" s="14" t="n">
        <f aca="false">AVERAGEIFS($Q$7:$Q$105,$D$7:$D$105,A113)</f>
        <v>0.0533939393939394</v>
      </c>
      <c r="F113" s="14" t="n">
        <f aca="false">AVERAGEIFS($R$7:$R$105,$D$7:$D$105,A113)</f>
        <v>0.014</v>
      </c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8"/>
    <col collapsed="false" customWidth="true" hidden="false" outlineLevel="0" max="2" min="2" style="1" width="16"/>
  </cols>
  <sheetData>
    <row r="1" customFormat="false" ht="15" hidden="false" customHeight="false" outlineLevel="0" collapsed="false">
      <c r="A1" s="4" t="s">
        <v>289</v>
      </c>
      <c r="B1" s="5"/>
    </row>
    <row r="2" customFormat="false" ht="15" hidden="false" customHeight="false" outlineLevel="0" collapsed="false">
      <c r="A2" s="5"/>
      <c r="B2" s="5"/>
    </row>
    <row r="3" customFormat="false" ht="15" hidden="false" customHeight="false" outlineLevel="0" collapsed="false">
      <c r="A3" s="5" t="s">
        <v>290</v>
      </c>
      <c r="B3" s="15" t="n">
        <v>1000</v>
      </c>
    </row>
    <row r="4" customFormat="false" ht="15" hidden="false" customHeight="false" outlineLevel="0" collapsed="false">
      <c r="A4" s="5" t="s">
        <v>291</v>
      </c>
      <c r="B4" s="15" t="n">
        <v>300</v>
      </c>
    </row>
    <row r="5" customFormat="false" ht="15" hidden="false" customHeight="false" outlineLevel="0" collapsed="false">
      <c r="A5" s="5" t="s">
        <v>292</v>
      </c>
      <c r="B5" s="15" t="n">
        <v>30</v>
      </c>
    </row>
    <row r="6" customFormat="false" ht="15" hidden="false" customHeight="false" outlineLevel="0" collapsed="false">
      <c r="A6" s="5" t="s">
        <v>293</v>
      </c>
      <c r="B6" s="15" t="n">
        <v>12</v>
      </c>
    </row>
    <row r="7" customFormat="false" ht="15" hidden="false" customHeight="false" outlineLevel="0" collapsed="false">
      <c r="A7" s="5" t="s">
        <v>294</v>
      </c>
      <c r="B7" s="15" t="n">
        <v>5.49</v>
      </c>
    </row>
    <row r="8" customFormat="false" ht="15" hidden="false" customHeight="false" outlineLevel="0" collapsed="false">
      <c r="A8" s="5" t="s">
        <v>295</v>
      </c>
      <c r="B8" s="15" t="n">
        <v>26.99</v>
      </c>
    </row>
    <row r="9" customFormat="false" ht="15" hidden="false" customHeight="false" outlineLevel="0" collapsed="false">
      <c r="A9" s="5" t="s">
        <v>296</v>
      </c>
      <c r="B9" s="15" t="n">
        <v>6.9</v>
      </c>
    </row>
    <row r="10" customFormat="false" ht="15" hidden="false" customHeight="false" outlineLevel="0" collapsed="false">
      <c r="A10" s="5" t="s">
        <v>297</v>
      </c>
      <c r="B10" s="15" t="n">
        <v>34.27</v>
      </c>
    </row>
    <row r="11" customFormat="false" ht="15" hidden="false" customHeight="false" outlineLevel="0" collapsed="false">
      <c r="A11" s="5" t="s">
        <v>298</v>
      </c>
      <c r="B11" s="6" t="n">
        <v>2.51</v>
      </c>
    </row>
    <row r="12" customFormat="false" ht="15" hidden="false" customHeight="false" outlineLevel="0" collapsed="false">
      <c r="A12" s="5" t="s">
        <v>299</v>
      </c>
      <c r="B12" s="6" t="n">
        <v>3.18</v>
      </c>
    </row>
    <row r="13" customFormat="false" ht="15" hidden="false" customHeight="false" outlineLevel="0" collapsed="false">
      <c r="A13" s="5" t="s">
        <v>300</v>
      </c>
      <c r="B13" s="6" t="n">
        <v>15.92</v>
      </c>
    </row>
    <row r="14" customFormat="false" ht="15" hidden="false" customHeight="false" outlineLevel="0" collapsed="false">
      <c r="A14" s="5" t="s">
        <v>301</v>
      </c>
      <c r="B14" s="6" t="n">
        <v>2.95</v>
      </c>
    </row>
    <row r="15" customFormat="false" ht="15" hidden="false" customHeight="false" outlineLevel="0" collapsed="false">
      <c r="A15" s="5" t="s">
        <v>302</v>
      </c>
      <c r="B15" s="15" t="n">
        <v>0.9</v>
      </c>
    </row>
    <row r="16" customFormat="false" ht="15" hidden="false" customHeight="false" outlineLevel="0" collapsed="false">
      <c r="A16" s="5" t="s">
        <v>303</v>
      </c>
      <c r="B16" s="6" t="n">
        <v>0</v>
      </c>
    </row>
    <row r="17" customFormat="false" ht="15" hidden="false" customHeight="false" outlineLevel="0" collapsed="false">
      <c r="A17" s="5"/>
      <c r="B17" s="5"/>
    </row>
    <row r="18" customFormat="false" ht="15" hidden="false" customHeight="false" outlineLevel="0" collapsed="false">
      <c r="A18" s="5"/>
      <c r="B18" s="5"/>
    </row>
    <row r="19" customFormat="false" ht="15" hidden="false" customHeight="false" outlineLevel="0" collapsed="false">
      <c r="A19" s="4" t="s">
        <v>304</v>
      </c>
      <c r="B19" s="5"/>
    </row>
    <row r="20" customFormat="false" ht="15" hidden="false" customHeight="false" outlineLevel="0" collapsed="false">
      <c r="A20" s="5" t="s">
        <v>305</v>
      </c>
      <c r="B20" s="16" t="n">
        <f aca="false">10*B11+2*B12+2*B13+B16</f>
        <v>63.3</v>
      </c>
    </row>
    <row r="21" customFormat="false" ht="15" hidden="false" customHeight="false" outlineLevel="0" collapsed="false">
      <c r="A21" s="5" t="s">
        <v>306</v>
      </c>
      <c r="B21" s="16" t="n">
        <f aca="false">B15+3*B14+3*B12+5*B13+B16</f>
        <v>98.89</v>
      </c>
    </row>
    <row r="22" customFormat="false" ht="15" hidden="false" customHeight="false" outlineLevel="0" collapsed="false">
      <c r="A22" s="5" t="s">
        <v>307</v>
      </c>
      <c r="B22" s="16" t="n">
        <f aca="false">(B20-B9)/B3</f>
        <v>0.0564</v>
      </c>
    </row>
    <row r="23" customFormat="false" ht="15" hidden="false" customHeight="false" outlineLevel="0" collapsed="false">
      <c r="A23" s="5" t="s">
        <v>308</v>
      </c>
      <c r="B23" s="16" t="n">
        <f aca="false">(B21-B10)/B4</f>
        <v>0.2154</v>
      </c>
    </row>
    <row r="24" customFormat="false" ht="15" hidden="false" customHeight="false" outlineLevel="0" collapsed="false">
      <c r="A24" s="5" t="s">
        <v>309</v>
      </c>
      <c r="B24" s="16" t="n">
        <f aca="false">B22*B5</f>
        <v>1.692</v>
      </c>
    </row>
    <row r="25" customFormat="false" ht="15" hidden="false" customHeight="false" outlineLevel="0" collapsed="false">
      <c r="A25" s="5" t="s">
        <v>310</v>
      </c>
      <c r="B25" s="16" t="n">
        <f aca="false">B23*B6</f>
        <v>2.5848</v>
      </c>
    </row>
    <row r="26" customFormat="false" ht="15" hidden="false" customHeight="false" outlineLevel="0" collapsed="false">
      <c r="A26" s="5" t="s">
        <v>311</v>
      </c>
      <c r="B26" s="14" t="n">
        <f aca="false">B22/B7</f>
        <v>0.0102732240437158</v>
      </c>
    </row>
    <row r="27" customFormat="false" ht="15" hidden="false" customHeight="false" outlineLevel="0" collapsed="false">
      <c r="A27" s="5" t="s">
        <v>312</v>
      </c>
      <c r="B27" s="14" t="n">
        <f aca="false">B23/B8</f>
        <v>0.00798073360503891</v>
      </c>
    </row>
    <row r="28" customFormat="false" ht="15" hidden="false" customHeight="false" outlineLevel="0" collapsed="false">
      <c r="A28" s="5" t="s">
        <v>313</v>
      </c>
      <c r="B28" s="14" t="n">
        <f aca="false">1-(1-1/B3)^B5</f>
        <v>0.0295690327369142</v>
      </c>
    </row>
    <row r="29" customFormat="false" ht="15" hidden="false" customHeight="false" outlineLevel="0" collapsed="false">
      <c r="A29" s="5" t="s">
        <v>314</v>
      </c>
      <c r="B29" s="14" t="n">
        <f aca="false">1-(1-1/B3)^(6*B5)</f>
        <v>0.164805009674327</v>
      </c>
    </row>
    <row r="30" customFormat="false" ht="15" hidden="false" customHeight="false" outlineLevel="0" collapsed="false">
      <c r="A30" s="5" t="s">
        <v>315</v>
      </c>
      <c r="B30" s="14" t="n">
        <f aca="false">1-(1-1/B4)^B6</f>
        <v>0.0392747540283653</v>
      </c>
    </row>
    <row r="31" customFormat="false" ht="15" hidden="false" customHeight="false" outlineLevel="0" collapsed="false">
      <c r="A31" s="5" t="s">
        <v>316</v>
      </c>
      <c r="B31" s="14" t="n">
        <f aca="false">1-(1-1/B4)^(6*B6)</f>
        <v>0.213687427852887</v>
      </c>
    </row>
    <row r="32" customFormat="false" ht="15" hidden="false" customHeight="false" outlineLevel="0" collapsed="false">
      <c r="A32" s="5" t="s">
        <v>317</v>
      </c>
      <c r="B32" s="14" t="n">
        <f aca="false">LN(0.5)/LN(1-1/B3)/B5</f>
        <v>23.0933516392833</v>
      </c>
    </row>
    <row r="33" customFormat="false" ht="15" hidden="false" customHeight="false" outlineLevel="0" collapsed="false">
      <c r="A33" s="5" t="s">
        <v>318</v>
      </c>
      <c r="B33" s="14" t="n">
        <f aca="false">LN(0.5)/LN(1-1/B4)/B6</f>
        <v>17.2997823096035</v>
      </c>
    </row>
    <row r="34" customFormat="false" ht="15" hidden="false" customHeight="false" outlineLevel="0" collapsed="false">
      <c r="A34" s="5" t="s">
        <v>319</v>
      </c>
      <c r="B34" s="14" t="n">
        <f aca="false">LN(0.5)/LN(1-1/B3)*B7</f>
        <v>3803.47501498997</v>
      </c>
    </row>
    <row r="35" customFormat="false" ht="15" hidden="false" customHeight="false" outlineLevel="0" collapsed="false">
      <c r="A35" s="5" t="s">
        <v>320</v>
      </c>
      <c r="B35" s="14" t="n">
        <f aca="false">LN(0.5)/LN(1-1/B4)*B8</f>
        <v>5603.05349443437</v>
      </c>
    </row>
    <row r="36" customFormat="false" ht="15" hidden="false" customHeight="false" outlineLevel="0" collapsed="false">
      <c r="A36" s="5" t="s">
        <v>321</v>
      </c>
      <c r="B36" s="17" t="n">
        <f aca="false">14-1.282</f>
        <v>12.718</v>
      </c>
    </row>
    <row r="37" customFormat="false" ht="15" hidden="false" customHeight="false" outlineLevel="0" collapsed="false">
      <c r="A37" s="5" t="s">
        <v>322</v>
      </c>
      <c r="B37" s="14" t="n">
        <f aca="false">B36/1282</f>
        <v>0.0099204368174727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5" min="4" style="1" width="16"/>
  </cols>
  <sheetData>
    <row r="1" customFormat="false" ht="15" hidden="false" customHeight="false" outlineLevel="0" collapsed="false">
      <c r="A1" s="4" t="s">
        <v>323</v>
      </c>
      <c r="B1" s="5"/>
      <c r="C1" s="5"/>
      <c r="D1" s="5"/>
      <c r="E1" s="5"/>
    </row>
    <row r="2" customFormat="false" ht="15" hidden="false" customHeight="false" outlineLevel="0" collapsed="false">
      <c r="A2" s="5"/>
      <c r="B2" s="5"/>
      <c r="C2" s="5"/>
      <c r="D2" s="5"/>
      <c r="E2" s="5"/>
    </row>
    <row r="3" customFormat="false" ht="15" hidden="false" customHeight="false" outlineLevel="0" collapsed="false">
      <c r="A3" s="5" t="s">
        <v>324</v>
      </c>
      <c r="B3" s="15" t="n">
        <v>0.621</v>
      </c>
      <c r="C3" s="5"/>
      <c r="D3" s="5"/>
      <c r="E3" s="5"/>
    </row>
    <row r="4" customFormat="false" ht="15" hidden="false" customHeight="false" outlineLevel="0" collapsed="false">
      <c r="A4" s="5" t="s">
        <v>325</v>
      </c>
      <c r="B4" s="12" t="n">
        <v>0.0753</v>
      </c>
      <c r="C4" s="5"/>
      <c r="D4" s="5"/>
      <c r="E4" s="5"/>
    </row>
    <row r="5" customFormat="false" ht="15" hidden="false" customHeight="false" outlineLevel="0" collapsed="false">
      <c r="A5" s="5" t="s">
        <v>326</v>
      </c>
      <c r="B5" s="15" t="n">
        <v>3.65</v>
      </c>
      <c r="C5" s="5"/>
      <c r="D5" s="5"/>
      <c r="E5" s="5"/>
    </row>
    <row r="6" customFormat="false" ht="15" hidden="false" customHeight="false" outlineLevel="0" collapsed="false">
      <c r="A6" s="5" t="s">
        <v>327</v>
      </c>
      <c r="B6" s="15" t="n">
        <v>0.333</v>
      </c>
      <c r="C6" s="5"/>
      <c r="D6" s="5"/>
      <c r="E6" s="5"/>
    </row>
    <row r="7" customFormat="false" ht="15" hidden="false" customHeight="false" outlineLevel="0" collapsed="false">
      <c r="A7" s="5" t="s">
        <v>328</v>
      </c>
      <c r="B7" s="15" t="n">
        <v>0.217</v>
      </c>
      <c r="C7" s="5"/>
      <c r="D7" s="5"/>
      <c r="E7" s="5"/>
    </row>
    <row r="8" customFormat="false" ht="15" hidden="false" customHeight="false" outlineLevel="0" collapsed="false">
      <c r="A8" s="5" t="s">
        <v>329</v>
      </c>
      <c r="B8" s="15" t="n">
        <v>30</v>
      </c>
      <c r="C8" s="5"/>
      <c r="D8" s="5"/>
      <c r="E8" s="5"/>
    </row>
    <row r="9" customFormat="false" ht="15" hidden="false" customHeight="false" outlineLevel="0" collapsed="false">
      <c r="A9" s="5"/>
      <c r="B9" s="5"/>
      <c r="C9" s="5"/>
      <c r="D9" s="5"/>
      <c r="E9" s="5"/>
    </row>
    <row r="10" customFormat="false" ht="15" hidden="false" customHeight="false" outlineLevel="0" collapsed="false">
      <c r="A10" s="5" t="s">
        <v>330</v>
      </c>
      <c r="B10" s="14" t="n">
        <f aca="false">(B3-B7)/(B5-B7)</f>
        <v>0.117681328284299</v>
      </c>
      <c r="C10" s="5"/>
      <c r="D10" s="5"/>
      <c r="E10" s="5"/>
    </row>
    <row r="11" customFormat="false" ht="15" hidden="false" customHeight="false" outlineLevel="0" collapsed="false">
      <c r="A11" s="5" t="s">
        <v>331</v>
      </c>
      <c r="B11" s="17" t="n">
        <f aca="false">1/B10</f>
        <v>8.49752475247525</v>
      </c>
      <c r="C11" s="5"/>
      <c r="D11" s="5"/>
      <c r="E11" s="5"/>
    </row>
    <row r="12" customFormat="false" ht="15" hidden="false" customHeight="false" outlineLevel="0" collapsed="false">
      <c r="A12" s="5"/>
      <c r="B12" s="5"/>
      <c r="C12" s="5"/>
      <c r="D12" s="5"/>
      <c r="E12" s="5"/>
    </row>
    <row r="13" customFormat="false" ht="26.85" hidden="false" customHeight="false" outlineLevel="0" collapsed="false">
      <c r="A13" s="8" t="s">
        <v>332</v>
      </c>
      <c r="B13" s="8" t="s">
        <v>333</v>
      </c>
      <c r="C13" s="8" t="s">
        <v>334</v>
      </c>
      <c r="D13" s="8" t="s">
        <v>335</v>
      </c>
      <c r="E13" s="8" t="s">
        <v>336</v>
      </c>
    </row>
    <row r="14" customFormat="false" ht="15" hidden="false" customHeight="false" outlineLevel="0" collapsed="false">
      <c r="A14" s="12" t="n">
        <v>0.0753</v>
      </c>
      <c r="B14" s="17" t="n">
        <f aca="false">1/A14</f>
        <v>13.2802124833997</v>
      </c>
      <c r="C14" s="18" t="n">
        <f aca="false">A14*$B$5+(1-A14)*$B$7</f>
        <v>0.4755049</v>
      </c>
      <c r="D14" s="18" t="n">
        <f aca="false">C14-$B$3</f>
        <v>-0.1454951</v>
      </c>
      <c r="E14" s="19" t="n">
        <f aca="false">D14*$B$8</f>
        <v>-4.364853</v>
      </c>
    </row>
    <row r="15" customFormat="false" ht="15" hidden="false" customHeight="false" outlineLevel="0" collapsed="false">
      <c r="A15" s="12" t="n">
        <v>0.1</v>
      </c>
      <c r="B15" s="17" t="n">
        <f aca="false">1/A15</f>
        <v>10</v>
      </c>
      <c r="C15" s="18" t="n">
        <f aca="false">A15*$B$5+(1-A15)*$B$7</f>
        <v>0.5603</v>
      </c>
      <c r="D15" s="18" t="n">
        <f aca="false">C15-$B$3</f>
        <v>-0.0607</v>
      </c>
      <c r="E15" s="19" t="n">
        <f aca="false">D15*$B$8</f>
        <v>-1.821</v>
      </c>
    </row>
    <row r="16" customFormat="false" ht="15" hidden="false" customHeight="false" outlineLevel="0" collapsed="false">
      <c r="A16" s="12" t="n">
        <v>0.125</v>
      </c>
      <c r="B16" s="17" t="n">
        <f aca="false">1/A16</f>
        <v>8</v>
      </c>
      <c r="C16" s="18" t="n">
        <f aca="false">A16*$B$5+(1-A16)*$B$7</f>
        <v>0.646125</v>
      </c>
      <c r="D16" s="18" t="n">
        <f aca="false">C16-$B$3</f>
        <v>0.025125</v>
      </c>
      <c r="E16" s="19" t="n">
        <f aca="false">D16*$B$8</f>
        <v>0.753749999999999</v>
      </c>
    </row>
    <row r="17" customFormat="false" ht="15" hidden="false" customHeight="false" outlineLevel="0" collapsed="false">
      <c r="A17" s="12" t="n">
        <v>0.15</v>
      </c>
      <c r="B17" s="17" t="n">
        <f aca="false">1/A17</f>
        <v>6.66666666666667</v>
      </c>
      <c r="C17" s="18" t="n">
        <f aca="false">A17*$B$5+(1-A17)*$B$7</f>
        <v>0.73195</v>
      </c>
      <c r="D17" s="18" t="n">
        <f aca="false">C17-$B$3</f>
        <v>0.11095</v>
      </c>
      <c r="E17" s="19" t="n">
        <f aca="false">D17*$B$8</f>
        <v>3.3285</v>
      </c>
    </row>
    <row r="18" customFormat="false" ht="15" hidden="false" customHeight="false" outlineLevel="0" collapsed="false">
      <c r="A18" s="12" t="n">
        <v>0.2</v>
      </c>
      <c r="B18" s="17" t="n">
        <f aca="false">1/A18</f>
        <v>5</v>
      </c>
      <c r="C18" s="18" t="n">
        <f aca="false">A18*$B$5+(1-A18)*$B$7</f>
        <v>0.9036</v>
      </c>
      <c r="D18" s="18" t="n">
        <f aca="false">C18-$B$3</f>
        <v>0.2826</v>
      </c>
      <c r="E18" s="19" t="n">
        <f aca="false">D18*$B$8</f>
        <v>8.478</v>
      </c>
    </row>
    <row r="19" customFormat="false" ht="15" hidden="false" customHeight="false" outlineLevel="0" collapsed="false">
      <c r="A19" s="12" t="n">
        <v>0.25</v>
      </c>
      <c r="B19" s="17" t="n">
        <f aca="false">1/A19</f>
        <v>4</v>
      </c>
      <c r="C19" s="18" t="n">
        <f aca="false">A19*$B$5+(1-A19)*$B$7</f>
        <v>1.07525</v>
      </c>
      <c r="D19" s="18" t="n">
        <f aca="false">C19-$B$3</f>
        <v>0.45425</v>
      </c>
      <c r="E19" s="19" t="n">
        <f aca="false">D19*$B$8</f>
        <v>13.6275</v>
      </c>
    </row>
    <row r="20" customFormat="false" ht="15" hidden="false" customHeight="false" outlineLevel="0" collapsed="false">
      <c r="A20" s="12" t="n">
        <v>0.3333</v>
      </c>
      <c r="B20" s="17" t="n">
        <f aca="false">1/A20</f>
        <v>3.000300030003</v>
      </c>
      <c r="C20" s="18" t="n">
        <f aca="false">A20*$B$5+(1-A20)*$B$7</f>
        <v>1.3612189</v>
      </c>
      <c r="D20" s="18" t="n">
        <f aca="false">C20-$B$3</f>
        <v>0.7402189</v>
      </c>
      <c r="E20" s="19" t="n">
        <f aca="false">D20*$B$8</f>
        <v>22.206567</v>
      </c>
    </row>
    <row r="21" customFormat="false" ht="15" hidden="false" customHeight="false" outlineLevel="0" collapsed="false">
      <c r="A21" s="5"/>
      <c r="B21" s="5"/>
      <c r="C21" s="5"/>
      <c r="D21" s="5"/>
      <c r="E21" s="5"/>
    </row>
    <row r="22" customFormat="false" ht="15" hidden="false" customHeight="false" outlineLevel="0" collapsed="false">
      <c r="A22" s="5"/>
      <c r="B22" s="5"/>
      <c r="C22" s="5"/>
      <c r="D22" s="5"/>
      <c r="E22" s="5"/>
    </row>
    <row r="23" customFormat="false" ht="15" hidden="false" customHeight="false" outlineLevel="0" collapsed="false">
      <c r="A23" s="4" t="s">
        <v>337</v>
      </c>
      <c r="B23" s="5"/>
      <c r="C23" s="5"/>
      <c r="D23" s="5"/>
      <c r="E23" s="5"/>
    </row>
    <row r="24" customFormat="false" ht="15" hidden="false" customHeight="false" outlineLevel="0" collapsed="false">
      <c r="A24" s="5" t="s">
        <v>338</v>
      </c>
      <c r="B24" s="15" t="n">
        <v>0.31</v>
      </c>
      <c r="C24" s="5"/>
      <c r="D24" s="5"/>
      <c r="E24" s="5"/>
    </row>
    <row r="25" customFormat="false" ht="15" hidden="false" customHeight="false" outlineLevel="0" collapsed="false">
      <c r="A25" s="5" t="s">
        <v>339</v>
      </c>
      <c r="B25" s="15" t="n">
        <v>0.399</v>
      </c>
      <c r="C25" s="5"/>
      <c r="D25" s="5"/>
      <c r="E25" s="5"/>
    </row>
    <row r="26" customFormat="false" ht="15" hidden="false" customHeight="false" outlineLevel="0" collapsed="false">
      <c r="A26" s="5" t="s">
        <v>340</v>
      </c>
      <c r="B26" s="19" t="n">
        <f aca="false">2*B24+B25</f>
        <v>1.019</v>
      </c>
      <c r="C26" s="5"/>
      <c r="D26" s="5"/>
      <c r="E26" s="5"/>
    </row>
    <row r="27" customFormat="false" ht="15" hidden="false" customHeight="false" outlineLevel="0" collapsed="false">
      <c r="A27" s="5" t="s">
        <v>341</v>
      </c>
      <c r="B27" s="14" t="n">
        <f aca="false">B26/26.99</f>
        <v>0.0377547239718414</v>
      </c>
      <c r="C27" s="5"/>
      <c r="D27" s="5"/>
      <c r="E27" s="5"/>
    </row>
    <row r="28" customFormat="false" ht="15" hidden="false" customHeight="false" outlineLevel="0" collapsed="false">
      <c r="A28" s="5" t="s">
        <v>342</v>
      </c>
      <c r="B28" s="5" t="n">
        <v>15</v>
      </c>
      <c r="C28" s="5" t="n">
        <v>12</v>
      </c>
      <c r="D28" s="5"/>
      <c r="E28" s="5"/>
    </row>
    <row r="29" customFormat="false" ht="15" hidden="false" customHeight="false" outlineLevel="0" collapsed="false">
      <c r="A29" s="5" t="s">
        <v>343</v>
      </c>
      <c r="B29" s="19" t="n">
        <f aca="false">26.99/B28</f>
        <v>1.79933333333333</v>
      </c>
      <c r="C29" s="19" t="n">
        <f aca="false">26.99/C28</f>
        <v>2.24916666666667</v>
      </c>
      <c r="D29" s="5"/>
      <c r="E29" s="5"/>
    </row>
    <row r="30" customFormat="false" ht="15" hidden="false" customHeight="false" outlineLevel="0" collapsed="false">
      <c r="A30" s="5" t="s">
        <v>344</v>
      </c>
      <c r="B30" s="14" t="n">
        <f aca="false">C29/B29-1</f>
        <v>0.25</v>
      </c>
      <c r="C30" s="5"/>
      <c r="D30" s="5"/>
      <c r="E30" s="5"/>
    </row>
    <row r="31" customFormat="false" ht="15" hidden="false" customHeight="false" outlineLevel="0" collapsed="false">
      <c r="A31" s="5" t="s">
        <v>345</v>
      </c>
      <c r="B31" s="20" t="n">
        <f aca="false">'God Pack'!B23-B26</f>
        <v>-0.8036</v>
      </c>
      <c r="C31" s="5"/>
      <c r="D31" s="5"/>
      <c r="E31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8"/>
  </cols>
  <sheetData>
    <row r="1" customFormat="false" ht="15" hidden="false" customHeight="false" outlineLevel="0" collapsed="false">
      <c r="A1" s="4" t="s">
        <v>346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5"/>
    </row>
    <row r="3" customFormat="false" ht="39.55" hidden="false" customHeight="false" outlineLevel="0" collapsed="false">
      <c r="A3" s="8" t="s">
        <v>14</v>
      </c>
      <c r="B3" s="8" t="s">
        <v>347</v>
      </c>
      <c r="C3" s="8" t="s">
        <v>348</v>
      </c>
      <c r="D3" s="8" t="s">
        <v>349</v>
      </c>
      <c r="E3" s="8" t="s">
        <v>350</v>
      </c>
      <c r="F3" s="8" t="s">
        <v>351</v>
      </c>
      <c r="G3" s="8" t="s">
        <v>352</v>
      </c>
      <c r="H3" s="8" t="s">
        <v>353</v>
      </c>
      <c r="I3" s="8" t="s">
        <v>354</v>
      </c>
    </row>
    <row r="4" customFormat="false" ht="15" hidden="false" customHeight="false" outlineLevel="0" collapsed="false">
      <c r="A4" s="5" t="s">
        <v>355</v>
      </c>
      <c r="B4" s="10" t="n">
        <v>100</v>
      </c>
      <c r="C4" s="10" t="n">
        <v>164.7</v>
      </c>
      <c r="D4" s="10" t="n">
        <v>151</v>
      </c>
      <c r="E4" s="14" t="n">
        <f aca="false">(C4-B4)/C4</f>
        <v>0.392835458409229</v>
      </c>
      <c r="F4" s="14" t="n">
        <f aca="false">IF(D4="","",(D4-B4)/D4)</f>
        <v>0.337748344370861</v>
      </c>
      <c r="G4" s="19" t="n">
        <f aca="false">B4/I4</f>
        <v>3.33333333333333</v>
      </c>
      <c r="H4" s="19" t="n">
        <f aca="false">C4/I4</f>
        <v>5.49</v>
      </c>
      <c r="I4" s="15" t="n">
        <v>30</v>
      </c>
    </row>
    <row r="5" customFormat="false" ht="15" hidden="false" customHeight="false" outlineLevel="0" collapsed="false">
      <c r="A5" s="5" t="s">
        <v>356</v>
      </c>
      <c r="B5" s="10" t="n">
        <v>70</v>
      </c>
      <c r="C5" s="10" t="n">
        <v>164.7</v>
      </c>
      <c r="D5" s="10" t="n">
        <v>151</v>
      </c>
      <c r="E5" s="14" t="n">
        <f aca="false">(C5-B5)/C5</f>
        <v>0.57498482088646</v>
      </c>
      <c r="F5" s="14" t="n">
        <f aca="false">IF(D5="","",(D5-B5)/D5)</f>
        <v>0.536423841059603</v>
      </c>
      <c r="G5" s="19" t="n">
        <f aca="false">B5/I5</f>
        <v>2.33333333333333</v>
      </c>
      <c r="H5" s="19" t="n">
        <f aca="false">C5/I5</f>
        <v>5.49</v>
      </c>
      <c r="I5" s="15" t="n">
        <v>30</v>
      </c>
    </row>
    <row r="6" customFormat="false" ht="15" hidden="false" customHeight="false" outlineLevel="0" collapsed="false">
      <c r="A6" s="5" t="s">
        <v>357</v>
      </c>
      <c r="B6" s="10" t="n">
        <v>210</v>
      </c>
      <c r="C6" s="10" t="n">
        <v>323.88</v>
      </c>
      <c r="D6" s="10" t="n">
        <v>457</v>
      </c>
      <c r="E6" s="14" t="n">
        <f aca="false">(C6-B6)/C6</f>
        <v>0.351611708040015</v>
      </c>
      <c r="F6" s="14" t="n">
        <f aca="false">IF(D6="","",(D6-B6)/D6)</f>
        <v>0.540481400437637</v>
      </c>
      <c r="G6" s="19" t="n">
        <f aca="false">B6/I6</f>
        <v>17.5</v>
      </c>
      <c r="H6" s="19" t="n">
        <f aca="false">C6/I6</f>
        <v>26.99</v>
      </c>
      <c r="I6" s="15" t="n">
        <v>12</v>
      </c>
    </row>
    <row r="7" customFormat="false" ht="15" hidden="false" customHeight="false" outlineLevel="0" collapsed="false">
      <c r="A7" s="5" t="s">
        <v>358</v>
      </c>
      <c r="B7" s="10" t="n">
        <v>40</v>
      </c>
      <c r="C7" s="10" t="n">
        <v>49.99</v>
      </c>
      <c r="D7" s="10"/>
      <c r="E7" s="14" t="n">
        <f aca="false">(C7-B7)/C7</f>
        <v>0.199839967993599</v>
      </c>
      <c r="F7" s="14" t="str">
        <f aca="false">IF(D7="","",(D7-B7)/D7)</f>
        <v/>
      </c>
      <c r="G7" s="19" t="n">
        <f aca="false">B7/I7</f>
        <v>40</v>
      </c>
      <c r="H7" s="19" t="n">
        <f aca="false">C7/I7</f>
        <v>49.99</v>
      </c>
      <c r="I7" s="15" t="n">
        <v>1</v>
      </c>
    </row>
    <row r="8" customFormat="false" ht="15" hidden="false" customHeight="false" outlineLevel="0" collapsed="false">
      <c r="A8" s="5" t="s">
        <v>359</v>
      </c>
      <c r="B8" s="10" t="n">
        <v>40</v>
      </c>
      <c r="C8" s="10" t="n">
        <v>57.99</v>
      </c>
      <c r="D8" s="10"/>
      <c r="E8" s="14" t="n">
        <f aca="false">(C8-B8)/C8</f>
        <v>0.310225901017417</v>
      </c>
      <c r="F8" s="14" t="str">
        <f aca="false">IF(D8="","",(D8-B8)/D8)</f>
        <v/>
      </c>
      <c r="G8" s="19" t="n">
        <f aca="false">B8/I8</f>
        <v>40</v>
      </c>
      <c r="H8" s="19" t="n">
        <f aca="false">C8/I8</f>
        <v>57.99</v>
      </c>
      <c r="I8" s="15" t="n">
        <v>1</v>
      </c>
    </row>
    <row r="9" customFormat="false" ht="15" hidden="false" customHeight="false" outlineLevel="0" collapsed="false">
      <c r="A9" s="5" t="s">
        <v>360</v>
      </c>
      <c r="B9" s="10" t="n">
        <v>30</v>
      </c>
      <c r="C9" s="10" t="n">
        <v>35</v>
      </c>
      <c r="D9" s="10"/>
      <c r="E9" s="14" t="n">
        <f aca="false">(C9-B9)/C9</f>
        <v>0.142857142857143</v>
      </c>
      <c r="F9" s="14" t="str">
        <f aca="false">IF(D9="","",(D9-B9)/D9)</f>
        <v/>
      </c>
      <c r="G9" s="19" t="n">
        <f aca="false">B9/I9</f>
        <v>30</v>
      </c>
      <c r="H9" s="19" t="n">
        <f aca="false">C9/I9</f>
        <v>35</v>
      </c>
      <c r="I9" s="15" t="n">
        <v>1</v>
      </c>
    </row>
    <row r="10" customFormat="false" ht="15" hidden="false" customHeight="false" outlineLevel="0" collapsed="false">
      <c r="A10" s="5" t="s">
        <v>361</v>
      </c>
      <c r="B10" s="10" t="n">
        <v>70</v>
      </c>
      <c r="C10" s="10" t="n">
        <v>89.99</v>
      </c>
      <c r="D10" s="10"/>
      <c r="E10" s="14" t="n">
        <f aca="false">(C10-B10)/C10</f>
        <v>0.222135792865874</v>
      </c>
      <c r="F10" s="14" t="str">
        <f aca="false">IF(D10="","",(D10-B10)/D10)</f>
        <v/>
      </c>
      <c r="G10" s="19" t="n">
        <f aca="false">B10/I10</f>
        <v>70</v>
      </c>
      <c r="H10" s="19" t="n">
        <f aca="false">C10/I10</f>
        <v>89.99</v>
      </c>
      <c r="I10" s="15" t="n">
        <v>1</v>
      </c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5" hidden="false" customHeight="false" outlineLevel="0" collapsed="false">
      <c r="A13" s="4" t="s">
        <v>362</v>
      </c>
      <c r="B13" s="5"/>
      <c r="C13" s="5"/>
      <c r="D13" s="5"/>
      <c r="E13" s="5"/>
      <c r="F13" s="5"/>
      <c r="G13" s="5"/>
      <c r="H13" s="5"/>
      <c r="I13" s="5"/>
    </row>
    <row r="14" customFormat="false" ht="90.25" hidden="false" customHeight="false" outlineLevel="0" collapsed="false">
      <c r="A14" s="8" t="s">
        <v>363</v>
      </c>
      <c r="B14" s="8" t="s">
        <v>364</v>
      </c>
      <c r="C14" s="8" t="s">
        <v>365</v>
      </c>
      <c r="D14" s="8" t="s">
        <v>366</v>
      </c>
      <c r="E14" s="8" t="s">
        <v>367</v>
      </c>
      <c r="F14" s="5"/>
      <c r="G14" s="5"/>
      <c r="H14" s="5"/>
      <c r="I14" s="5"/>
    </row>
    <row r="15" customFormat="false" ht="15" hidden="false" customHeight="false" outlineLevel="0" collapsed="false">
      <c r="A15" s="5" t="s">
        <v>368</v>
      </c>
      <c r="B15" s="10" t="n">
        <v>7</v>
      </c>
      <c r="C15" s="10" t="n">
        <v>5.5</v>
      </c>
      <c r="D15" s="14" t="n">
        <f aca="false">1-C15/B15</f>
        <v>0.214285714285714</v>
      </c>
      <c r="E15" s="5" t="s">
        <v>369</v>
      </c>
      <c r="F15" s="5"/>
      <c r="G15" s="5"/>
      <c r="H15" s="5"/>
      <c r="I15" s="5"/>
    </row>
    <row r="16" customFormat="false" ht="15" hidden="false" customHeight="false" outlineLevel="0" collapsed="false">
      <c r="A16" s="5" t="s">
        <v>370</v>
      </c>
      <c r="B16" s="10" t="n">
        <v>48</v>
      </c>
      <c r="C16" s="10" t="n">
        <v>41</v>
      </c>
      <c r="D16" s="14" t="n">
        <f aca="false">1-C16/B16</f>
        <v>0.145833333333333</v>
      </c>
      <c r="E16" s="5"/>
      <c r="F16" s="5"/>
      <c r="G16" s="5"/>
      <c r="H16" s="5"/>
      <c r="I16" s="5"/>
    </row>
    <row r="17" customFormat="false" ht="15" hidden="false" customHeight="false" outlineLevel="0" collapsed="false">
      <c r="A17" s="5" t="s">
        <v>371</v>
      </c>
      <c r="B17" s="10" t="n">
        <v>6</v>
      </c>
      <c r="C17" s="10" t="n">
        <v>4.5</v>
      </c>
      <c r="D17" s="14" t="n">
        <f aca="false">1-C17/B17</f>
        <v>0.25</v>
      </c>
      <c r="E17" s="5"/>
      <c r="F17" s="5"/>
      <c r="G17" s="5"/>
      <c r="H17" s="5"/>
      <c r="I17" s="5"/>
    </row>
    <row r="18" customFormat="false" ht="15" hidden="false" customHeight="false" outlineLevel="0" collapsed="false">
      <c r="A18" s="5" t="s">
        <v>372</v>
      </c>
      <c r="B18" s="10" t="n">
        <v>100</v>
      </c>
      <c r="C18" s="10" t="n">
        <v>100</v>
      </c>
      <c r="D18" s="14" t="n">
        <f aca="false">1-C18/B18</f>
        <v>0</v>
      </c>
      <c r="E18" s="5" t="s">
        <v>373</v>
      </c>
      <c r="F18" s="5"/>
      <c r="G18" s="5"/>
      <c r="H18" s="5"/>
      <c r="I18" s="5"/>
    </row>
    <row r="19" customFormat="false" ht="15" hidden="false" customHeight="false" outlineLevel="0" collapsed="false">
      <c r="A19" s="5" t="s">
        <v>374</v>
      </c>
      <c r="B19" s="10" t="n">
        <v>350</v>
      </c>
      <c r="C19" s="10" t="n">
        <v>350</v>
      </c>
      <c r="D19" s="14" t="n">
        <f aca="false">1-C19/B19</f>
        <v>0</v>
      </c>
      <c r="E19" s="5" t="s">
        <v>375</v>
      </c>
      <c r="F19" s="5"/>
      <c r="G19" s="5"/>
      <c r="H19" s="5"/>
      <c r="I19" s="5"/>
    </row>
    <row r="20" customFormat="false" ht="15" hidden="false" customHeight="false" outlineLevel="0" collapsed="false">
      <c r="A20" s="5" t="s">
        <v>376</v>
      </c>
      <c r="B20" s="10" t="n">
        <v>30</v>
      </c>
      <c r="C20" s="10" t="n">
        <v>30</v>
      </c>
      <c r="D20" s="14" t="n">
        <f aca="false">1-C20/B20</f>
        <v>0</v>
      </c>
      <c r="E20" s="5" t="s">
        <v>377</v>
      </c>
      <c r="F20" s="5"/>
      <c r="G20" s="5"/>
      <c r="H20" s="5"/>
      <c r="I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false" outlineLevel="0" collapsed="false">
      <c r="A22" s="21" t="s">
        <v>378</v>
      </c>
      <c r="B22" s="5"/>
      <c r="C22" s="5"/>
      <c r="D22" s="5"/>
      <c r="E22" s="5"/>
      <c r="F22" s="5"/>
      <c r="G22" s="5"/>
      <c r="H22" s="5"/>
      <c r="I2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3" min="3" style="1" width="12"/>
    <col collapsed="false" customWidth="true" hidden="false" outlineLevel="0" max="4" min="4" style="1" width="8"/>
    <col collapsed="false" customWidth="true" hidden="false" outlineLevel="0" max="5" min="5" style="1" width="16"/>
  </cols>
  <sheetData>
    <row r="1" customFormat="false" ht="15" hidden="false" customHeight="false" outlineLevel="0" collapsed="false">
      <c r="A1" s="8" t="s">
        <v>13</v>
      </c>
      <c r="B1" s="8" t="s">
        <v>379</v>
      </c>
      <c r="C1" s="8" t="s">
        <v>380</v>
      </c>
      <c r="D1" s="8" t="s">
        <v>381</v>
      </c>
      <c r="E1" s="8" t="s">
        <v>382</v>
      </c>
    </row>
    <row r="2" customFormat="false" ht="15" hidden="false" customHeight="false" outlineLevel="0" collapsed="false">
      <c r="A2" s="5" t="s">
        <v>383</v>
      </c>
      <c r="B2" s="5" t="s">
        <v>384</v>
      </c>
      <c r="C2" s="5" t="s">
        <v>385</v>
      </c>
      <c r="D2" s="5" t="s">
        <v>386</v>
      </c>
      <c r="E2" s="16" t="n">
        <v>29.77</v>
      </c>
    </row>
    <row r="3" customFormat="false" ht="15" hidden="false" customHeight="false" outlineLevel="0" collapsed="false">
      <c r="A3" s="5" t="s">
        <v>383</v>
      </c>
      <c r="B3" s="5" t="s">
        <v>387</v>
      </c>
      <c r="C3" s="5" t="s">
        <v>388</v>
      </c>
      <c r="D3" s="5" t="s">
        <v>389</v>
      </c>
      <c r="E3" s="16" t="n">
        <v>29.35</v>
      </c>
    </row>
    <row r="4" customFormat="false" ht="15" hidden="false" customHeight="false" outlineLevel="0" collapsed="false">
      <c r="A4" s="5" t="s">
        <v>383</v>
      </c>
      <c r="B4" s="5" t="s">
        <v>390</v>
      </c>
      <c r="C4" s="5" t="s">
        <v>391</v>
      </c>
      <c r="D4" s="5" t="s">
        <v>386</v>
      </c>
      <c r="E4" s="16" t="n">
        <v>21.33</v>
      </c>
    </row>
    <row r="5" customFormat="false" ht="15" hidden="false" customHeight="false" outlineLevel="0" collapsed="false">
      <c r="A5" s="5" t="s">
        <v>383</v>
      </c>
      <c r="B5" s="5" t="s">
        <v>392</v>
      </c>
      <c r="C5" s="5" t="s">
        <v>393</v>
      </c>
      <c r="D5" s="5" t="s">
        <v>389</v>
      </c>
      <c r="E5" s="16" t="n">
        <v>12.12</v>
      </c>
    </row>
    <row r="6" customFormat="false" ht="15" hidden="false" customHeight="false" outlineLevel="0" collapsed="false">
      <c r="A6" s="5" t="s">
        <v>383</v>
      </c>
      <c r="B6" s="5" t="s">
        <v>394</v>
      </c>
      <c r="C6" s="5" t="s">
        <v>395</v>
      </c>
      <c r="D6" s="5" t="s">
        <v>386</v>
      </c>
      <c r="E6" s="16" t="n">
        <v>12.06</v>
      </c>
    </row>
    <row r="7" customFormat="false" ht="15" hidden="false" customHeight="false" outlineLevel="0" collapsed="false">
      <c r="A7" s="5" t="s">
        <v>383</v>
      </c>
      <c r="B7" s="5" t="s">
        <v>396</v>
      </c>
      <c r="C7" s="5" t="s">
        <v>397</v>
      </c>
      <c r="D7" s="5" t="s">
        <v>386</v>
      </c>
      <c r="E7" s="16" t="n">
        <v>11.98</v>
      </c>
    </row>
    <row r="8" customFormat="false" ht="15" hidden="false" customHeight="false" outlineLevel="0" collapsed="false">
      <c r="A8" s="5" t="s">
        <v>383</v>
      </c>
      <c r="B8" s="5" t="s">
        <v>398</v>
      </c>
      <c r="C8" s="5" t="s">
        <v>399</v>
      </c>
      <c r="D8" s="5" t="s">
        <v>386</v>
      </c>
      <c r="E8" s="16" t="n">
        <v>10.97</v>
      </c>
    </row>
    <row r="9" customFormat="false" ht="15" hidden="false" customHeight="false" outlineLevel="0" collapsed="false">
      <c r="A9" s="5" t="s">
        <v>383</v>
      </c>
      <c r="B9" s="5" t="s">
        <v>400</v>
      </c>
      <c r="C9" s="5" t="s">
        <v>401</v>
      </c>
      <c r="D9" s="5" t="s">
        <v>389</v>
      </c>
      <c r="E9" s="16" t="n">
        <v>9.47</v>
      </c>
    </row>
    <row r="10" customFormat="false" ht="15" hidden="false" customHeight="false" outlineLevel="0" collapsed="false">
      <c r="A10" s="5" t="s">
        <v>402</v>
      </c>
      <c r="B10" s="5" t="s">
        <v>403</v>
      </c>
      <c r="C10" s="5" t="s">
        <v>404</v>
      </c>
      <c r="D10" s="5" t="s">
        <v>386</v>
      </c>
      <c r="E10" s="16" t="n">
        <v>20.54</v>
      </c>
    </row>
    <row r="11" customFormat="false" ht="15" hidden="false" customHeight="false" outlineLevel="0" collapsed="false">
      <c r="A11" s="5" t="s">
        <v>402</v>
      </c>
      <c r="B11" s="5" t="s">
        <v>405</v>
      </c>
      <c r="C11" s="5" t="s">
        <v>406</v>
      </c>
      <c r="D11" s="5" t="s">
        <v>386</v>
      </c>
      <c r="E11" s="16" t="n">
        <v>18.79</v>
      </c>
    </row>
    <row r="12" customFormat="false" ht="15" hidden="false" customHeight="false" outlineLevel="0" collapsed="false">
      <c r="A12" s="5" t="s">
        <v>402</v>
      </c>
      <c r="B12" s="5" t="s">
        <v>407</v>
      </c>
      <c r="C12" s="5" t="s">
        <v>408</v>
      </c>
      <c r="D12" s="5" t="s">
        <v>389</v>
      </c>
      <c r="E12" s="16" t="n">
        <v>15.87</v>
      </c>
    </row>
    <row r="13" customFormat="false" ht="15" hidden="false" customHeight="false" outlineLevel="0" collapsed="false">
      <c r="A13" s="5" t="s">
        <v>402</v>
      </c>
      <c r="B13" s="5" t="s">
        <v>409</v>
      </c>
      <c r="C13" s="5" t="s">
        <v>410</v>
      </c>
      <c r="D13" s="5" t="s">
        <v>386</v>
      </c>
      <c r="E13" s="16" t="n">
        <v>15.3</v>
      </c>
    </row>
    <row r="14" customFormat="false" ht="15" hidden="false" customHeight="false" outlineLevel="0" collapsed="false">
      <c r="A14" s="5" t="s">
        <v>402</v>
      </c>
      <c r="B14" s="5" t="s">
        <v>411</v>
      </c>
      <c r="C14" s="5" t="s">
        <v>412</v>
      </c>
      <c r="D14" s="5" t="s">
        <v>389</v>
      </c>
      <c r="E14" s="16" t="n">
        <v>14.33</v>
      </c>
    </row>
    <row r="15" customFormat="false" ht="15" hidden="false" customHeight="false" outlineLevel="0" collapsed="false">
      <c r="A15" s="5" t="s">
        <v>402</v>
      </c>
      <c r="B15" s="5" t="s">
        <v>413</v>
      </c>
      <c r="C15" s="5" t="s">
        <v>414</v>
      </c>
      <c r="D15" s="5" t="s">
        <v>386</v>
      </c>
      <c r="E15" s="16" t="n">
        <v>11.6</v>
      </c>
    </row>
    <row r="16" customFormat="false" ht="15" hidden="false" customHeight="false" outlineLevel="0" collapsed="false">
      <c r="A16" s="5" t="s">
        <v>402</v>
      </c>
      <c r="B16" s="5" t="s">
        <v>415</v>
      </c>
      <c r="C16" s="5" t="s">
        <v>388</v>
      </c>
      <c r="D16" s="5" t="s">
        <v>389</v>
      </c>
      <c r="E16" s="16" t="n">
        <v>10.99</v>
      </c>
    </row>
    <row r="17" customFormat="false" ht="15" hidden="false" customHeight="false" outlineLevel="0" collapsed="false">
      <c r="A17" s="5" t="s">
        <v>402</v>
      </c>
      <c r="B17" s="5" t="s">
        <v>416</v>
      </c>
      <c r="C17" s="5" t="s">
        <v>417</v>
      </c>
      <c r="D17" s="5" t="s">
        <v>386</v>
      </c>
      <c r="E17" s="16" t="n">
        <v>10.94</v>
      </c>
    </row>
    <row r="18" customFormat="false" ht="15" hidden="false" customHeight="false" outlineLevel="0" collapsed="false">
      <c r="A18" s="5" t="s">
        <v>418</v>
      </c>
      <c r="B18" s="5" t="s">
        <v>419</v>
      </c>
      <c r="C18" s="5" t="s">
        <v>420</v>
      </c>
      <c r="D18" s="5" t="s">
        <v>386</v>
      </c>
      <c r="E18" s="16" t="n">
        <v>48.78</v>
      </c>
    </row>
    <row r="19" customFormat="false" ht="15" hidden="false" customHeight="false" outlineLevel="0" collapsed="false">
      <c r="A19" s="5" t="s">
        <v>418</v>
      </c>
      <c r="B19" s="5" t="s">
        <v>421</v>
      </c>
      <c r="C19" s="5" t="s">
        <v>422</v>
      </c>
      <c r="D19" s="5" t="s">
        <v>386</v>
      </c>
      <c r="E19" s="16" t="n">
        <v>31.61</v>
      </c>
    </row>
    <row r="20" customFormat="false" ht="15" hidden="false" customHeight="false" outlineLevel="0" collapsed="false">
      <c r="A20" s="5" t="s">
        <v>418</v>
      </c>
      <c r="B20" s="5" t="s">
        <v>423</v>
      </c>
      <c r="C20" s="5" t="s">
        <v>424</v>
      </c>
      <c r="D20" s="5" t="s">
        <v>386</v>
      </c>
      <c r="E20" s="16" t="n">
        <v>27.95</v>
      </c>
    </row>
    <row r="21" customFormat="false" ht="15" hidden="false" customHeight="false" outlineLevel="0" collapsed="false">
      <c r="A21" s="5" t="s">
        <v>418</v>
      </c>
      <c r="B21" s="5" t="s">
        <v>425</v>
      </c>
      <c r="C21" s="5" t="s">
        <v>426</v>
      </c>
      <c r="D21" s="5" t="s">
        <v>386</v>
      </c>
      <c r="E21" s="16" t="n">
        <v>24.75</v>
      </c>
    </row>
    <row r="22" customFormat="false" ht="15" hidden="false" customHeight="false" outlineLevel="0" collapsed="false">
      <c r="A22" s="5" t="s">
        <v>418</v>
      </c>
      <c r="B22" s="5" t="s">
        <v>427</v>
      </c>
      <c r="C22" s="5" t="s">
        <v>428</v>
      </c>
      <c r="D22" s="5" t="s">
        <v>386</v>
      </c>
      <c r="E22" s="16" t="n">
        <v>19.27</v>
      </c>
    </row>
    <row r="23" customFormat="false" ht="15" hidden="false" customHeight="false" outlineLevel="0" collapsed="false">
      <c r="A23" s="5" t="s">
        <v>418</v>
      </c>
      <c r="B23" s="5" t="s">
        <v>429</v>
      </c>
      <c r="C23" s="5" t="s">
        <v>430</v>
      </c>
      <c r="D23" s="5" t="s">
        <v>386</v>
      </c>
      <c r="E23" s="16" t="n">
        <v>17.1</v>
      </c>
    </row>
    <row r="24" customFormat="false" ht="15" hidden="false" customHeight="false" outlineLevel="0" collapsed="false">
      <c r="A24" s="5" t="s">
        <v>418</v>
      </c>
      <c r="B24" s="5" t="s">
        <v>431</v>
      </c>
      <c r="C24" s="5" t="s">
        <v>432</v>
      </c>
      <c r="D24" s="5" t="s">
        <v>386</v>
      </c>
      <c r="E24" s="16" t="n">
        <v>12.33</v>
      </c>
    </row>
    <row r="25" customFormat="false" ht="15" hidden="false" customHeight="false" outlineLevel="0" collapsed="false">
      <c r="A25" s="5" t="s">
        <v>418</v>
      </c>
      <c r="B25" s="5" t="s">
        <v>433</v>
      </c>
      <c r="C25" s="5" t="s">
        <v>434</v>
      </c>
      <c r="D25" s="5" t="s">
        <v>389</v>
      </c>
      <c r="E25" s="16" t="n">
        <v>12.06</v>
      </c>
    </row>
    <row r="26" customFormat="false" ht="15" hidden="false" customHeight="false" outlineLevel="0" collapsed="false">
      <c r="A26" s="5" t="s">
        <v>435</v>
      </c>
      <c r="B26" s="5" t="s">
        <v>436</v>
      </c>
      <c r="C26" s="5" t="s">
        <v>437</v>
      </c>
      <c r="D26" s="5" t="s">
        <v>386</v>
      </c>
      <c r="E26" s="16" t="n">
        <v>35.48</v>
      </c>
    </row>
    <row r="27" customFormat="false" ht="15" hidden="false" customHeight="false" outlineLevel="0" collapsed="false">
      <c r="A27" s="5" t="s">
        <v>435</v>
      </c>
      <c r="B27" s="5" t="s">
        <v>438</v>
      </c>
      <c r="C27" s="5" t="s">
        <v>439</v>
      </c>
      <c r="D27" s="5" t="s">
        <v>386</v>
      </c>
      <c r="E27" s="16" t="n">
        <v>30.7</v>
      </c>
    </row>
    <row r="28" customFormat="false" ht="15" hidden="false" customHeight="false" outlineLevel="0" collapsed="false">
      <c r="A28" s="5" t="s">
        <v>435</v>
      </c>
      <c r="B28" s="5" t="s">
        <v>440</v>
      </c>
      <c r="C28" s="5" t="s">
        <v>441</v>
      </c>
      <c r="D28" s="5" t="s">
        <v>386</v>
      </c>
      <c r="E28" s="16" t="n">
        <v>9.04</v>
      </c>
    </row>
    <row r="29" customFormat="false" ht="15" hidden="false" customHeight="false" outlineLevel="0" collapsed="false">
      <c r="A29" s="5" t="s">
        <v>435</v>
      </c>
      <c r="B29" s="5" t="s">
        <v>442</v>
      </c>
      <c r="C29" s="5" t="s">
        <v>443</v>
      </c>
      <c r="D29" s="5" t="s">
        <v>386</v>
      </c>
      <c r="E29" s="16" t="n">
        <v>6.79</v>
      </c>
    </row>
    <row r="30" customFormat="false" ht="15" hidden="false" customHeight="false" outlineLevel="0" collapsed="false">
      <c r="A30" s="5" t="s">
        <v>435</v>
      </c>
      <c r="B30" s="5" t="s">
        <v>444</v>
      </c>
      <c r="C30" s="5" t="s">
        <v>445</v>
      </c>
      <c r="D30" s="5" t="s">
        <v>446</v>
      </c>
      <c r="E30" s="16" t="n">
        <v>6.43</v>
      </c>
    </row>
    <row r="31" customFormat="false" ht="15" hidden="false" customHeight="false" outlineLevel="0" collapsed="false">
      <c r="A31" s="5" t="s">
        <v>435</v>
      </c>
      <c r="B31" s="5" t="s">
        <v>447</v>
      </c>
      <c r="C31" s="5" t="s">
        <v>448</v>
      </c>
      <c r="D31" s="5" t="s">
        <v>389</v>
      </c>
      <c r="E31" s="16" t="n">
        <v>6.11</v>
      </c>
    </row>
    <row r="32" customFormat="false" ht="15" hidden="false" customHeight="false" outlineLevel="0" collapsed="false">
      <c r="A32" s="5" t="s">
        <v>435</v>
      </c>
      <c r="B32" s="5" t="s">
        <v>449</v>
      </c>
      <c r="C32" s="5" t="s">
        <v>450</v>
      </c>
      <c r="D32" s="5" t="s">
        <v>386</v>
      </c>
      <c r="E32" s="16" t="n">
        <v>5.92</v>
      </c>
    </row>
    <row r="33" customFormat="false" ht="15" hidden="false" customHeight="false" outlineLevel="0" collapsed="false">
      <c r="A33" s="5" t="s">
        <v>435</v>
      </c>
      <c r="B33" s="5" t="s">
        <v>451</v>
      </c>
      <c r="C33" s="5" t="s">
        <v>452</v>
      </c>
      <c r="D33" s="5" t="s">
        <v>389</v>
      </c>
      <c r="E33" s="16" t="n">
        <v>5.81</v>
      </c>
    </row>
    <row r="34" customFormat="false" ht="15" hidden="false" customHeight="false" outlineLevel="0" collapsed="false">
      <c r="A34" s="5" t="s">
        <v>453</v>
      </c>
      <c r="B34" s="5" t="s">
        <v>454</v>
      </c>
      <c r="C34" s="5" t="s">
        <v>455</v>
      </c>
      <c r="D34" s="5" t="s">
        <v>386</v>
      </c>
      <c r="E34" s="16" t="n">
        <v>42.41</v>
      </c>
    </row>
    <row r="35" customFormat="false" ht="15" hidden="false" customHeight="false" outlineLevel="0" collapsed="false">
      <c r="A35" s="5" t="s">
        <v>453</v>
      </c>
      <c r="B35" s="5" t="s">
        <v>456</v>
      </c>
      <c r="C35" s="5" t="s">
        <v>457</v>
      </c>
      <c r="D35" s="5" t="s">
        <v>386</v>
      </c>
      <c r="E35" s="16" t="n">
        <v>30.15</v>
      </c>
    </row>
    <row r="36" customFormat="false" ht="15" hidden="false" customHeight="false" outlineLevel="0" collapsed="false">
      <c r="A36" s="5" t="s">
        <v>453</v>
      </c>
      <c r="B36" s="5" t="s">
        <v>458</v>
      </c>
      <c r="C36" s="5" t="s">
        <v>459</v>
      </c>
      <c r="D36" s="5" t="s">
        <v>389</v>
      </c>
      <c r="E36" s="16" t="n">
        <v>20.75</v>
      </c>
    </row>
    <row r="37" customFormat="false" ht="15" hidden="false" customHeight="false" outlineLevel="0" collapsed="false">
      <c r="A37" s="5" t="s">
        <v>453</v>
      </c>
      <c r="B37" s="5" t="s">
        <v>460</v>
      </c>
      <c r="C37" s="5" t="s">
        <v>461</v>
      </c>
      <c r="D37" s="5" t="s">
        <v>389</v>
      </c>
      <c r="E37" s="16" t="n">
        <v>20.24</v>
      </c>
    </row>
    <row r="38" customFormat="false" ht="15" hidden="false" customHeight="false" outlineLevel="0" collapsed="false">
      <c r="A38" s="5" t="s">
        <v>453</v>
      </c>
      <c r="B38" s="5" t="s">
        <v>462</v>
      </c>
      <c r="C38" s="5" t="s">
        <v>463</v>
      </c>
      <c r="D38" s="5" t="s">
        <v>389</v>
      </c>
      <c r="E38" s="16" t="n">
        <v>19.26</v>
      </c>
    </row>
    <row r="39" customFormat="false" ht="15" hidden="false" customHeight="false" outlineLevel="0" collapsed="false">
      <c r="A39" s="5" t="s">
        <v>453</v>
      </c>
      <c r="B39" s="5" t="s">
        <v>464</v>
      </c>
      <c r="C39" s="5" t="s">
        <v>465</v>
      </c>
      <c r="D39" s="5" t="s">
        <v>386</v>
      </c>
      <c r="E39" s="16" t="n">
        <v>18.73</v>
      </c>
    </row>
    <row r="40" customFormat="false" ht="15" hidden="false" customHeight="false" outlineLevel="0" collapsed="false">
      <c r="A40" s="5" t="s">
        <v>453</v>
      </c>
      <c r="B40" s="5" t="s">
        <v>466</v>
      </c>
      <c r="C40" s="5" t="s">
        <v>467</v>
      </c>
      <c r="D40" s="5" t="s">
        <v>389</v>
      </c>
      <c r="E40" s="16" t="n">
        <v>18.45</v>
      </c>
    </row>
    <row r="41" customFormat="false" ht="15" hidden="false" customHeight="false" outlineLevel="0" collapsed="false">
      <c r="A41" s="5" t="s">
        <v>453</v>
      </c>
      <c r="B41" s="5" t="s">
        <v>468</v>
      </c>
      <c r="C41" s="5" t="s">
        <v>469</v>
      </c>
      <c r="D41" s="5" t="s">
        <v>386</v>
      </c>
      <c r="E41" s="16" t="n">
        <v>17.94</v>
      </c>
    </row>
    <row r="42" customFormat="false" ht="15" hidden="false" customHeight="false" outlineLevel="0" collapsed="false">
      <c r="A42" s="5" t="s">
        <v>470</v>
      </c>
      <c r="B42" s="5" t="s">
        <v>471</v>
      </c>
      <c r="C42" s="5" t="s">
        <v>472</v>
      </c>
      <c r="D42" s="5" t="s">
        <v>386</v>
      </c>
      <c r="E42" s="16" t="n">
        <v>66.5</v>
      </c>
    </row>
    <row r="43" customFormat="false" ht="15" hidden="false" customHeight="false" outlineLevel="0" collapsed="false">
      <c r="A43" s="5" t="s">
        <v>470</v>
      </c>
      <c r="B43" s="5" t="s">
        <v>473</v>
      </c>
      <c r="C43" s="5" t="s">
        <v>474</v>
      </c>
      <c r="D43" s="5" t="s">
        <v>386</v>
      </c>
      <c r="E43" s="16" t="n">
        <v>57.34</v>
      </c>
    </row>
    <row r="44" customFormat="false" ht="15" hidden="false" customHeight="false" outlineLevel="0" collapsed="false">
      <c r="A44" s="5" t="s">
        <v>470</v>
      </c>
      <c r="B44" s="5" t="s">
        <v>471</v>
      </c>
      <c r="C44" s="5" t="s">
        <v>475</v>
      </c>
      <c r="D44" s="5" t="s">
        <v>386</v>
      </c>
      <c r="E44" s="16" t="n">
        <v>44.59</v>
      </c>
    </row>
    <row r="45" customFormat="false" ht="15" hidden="false" customHeight="false" outlineLevel="0" collapsed="false">
      <c r="A45" s="5" t="s">
        <v>470</v>
      </c>
      <c r="B45" s="5" t="s">
        <v>473</v>
      </c>
      <c r="C45" s="5" t="s">
        <v>476</v>
      </c>
      <c r="D45" s="5" t="s">
        <v>386</v>
      </c>
      <c r="E45" s="16" t="n">
        <v>34.81</v>
      </c>
    </row>
    <row r="46" customFormat="false" ht="15" hidden="false" customHeight="false" outlineLevel="0" collapsed="false">
      <c r="A46" s="5" t="s">
        <v>470</v>
      </c>
      <c r="B46" s="5" t="s">
        <v>477</v>
      </c>
      <c r="C46" s="5" t="s">
        <v>478</v>
      </c>
      <c r="D46" s="5" t="s">
        <v>386</v>
      </c>
      <c r="E46" s="16" t="n">
        <v>30.34</v>
      </c>
    </row>
    <row r="47" customFormat="false" ht="15" hidden="false" customHeight="false" outlineLevel="0" collapsed="false">
      <c r="A47" s="5" t="s">
        <v>470</v>
      </c>
      <c r="B47" s="5" t="s">
        <v>479</v>
      </c>
      <c r="C47" s="5" t="s">
        <v>480</v>
      </c>
      <c r="D47" s="5" t="s">
        <v>386</v>
      </c>
      <c r="E47" s="16" t="n">
        <v>27.48</v>
      </c>
    </row>
    <row r="48" customFormat="false" ht="15" hidden="false" customHeight="false" outlineLevel="0" collapsed="false">
      <c r="A48" s="5" t="s">
        <v>470</v>
      </c>
      <c r="B48" s="5" t="s">
        <v>477</v>
      </c>
      <c r="C48" s="5" t="s">
        <v>481</v>
      </c>
      <c r="D48" s="5" t="s">
        <v>386</v>
      </c>
      <c r="E48" s="16" t="n">
        <v>25.26</v>
      </c>
    </row>
    <row r="49" customFormat="false" ht="15" hidden="false" customHeight="false" outlineLevel="0" collapsed="false">
      <c r="A49" s="5" t="s">
        <v>470</v>
      </c>
      <c r="B49" s="5" t="s">
        <v>482</v>
      </c>
      <c r="C49" s="5" t="s">
        <v>483</v>
      </c>
      <c r="D49" s="5" t="s">
        <v>389</v>
      </c>
      <c r="E49" s="16" t="n">
        <v>19</v>
      </c>
    </row>
    <row r="50" customFormat="false" ht="15" hidden="false" customHeight="false" outlineLevel="0" collapsed="false">
      <c r="A50" s="5" t="s">
        <v>484</v>
      </c>
      <c r="B50" s="5" t="s">
        <v>485</v>
      </c>
      <c r="C50" s="5" t="s">
        <v>486</v>
      </c>
      <c r="D50" s="5" t="s">
        <v>389</v>
      </c>
      <c r="E50" s="16" t="n">
        <v>28.49</v>
      </c>
    </row>
    <row r="51" customFormat="false" ht="15" hidden="false" customHeight="false" outlineLevel="0" collapsed="false">
      <c r="A51" s="5" t="s">
        <v>484</v>
      </c>
      <c r="B51" s="5" t="s">
        <v>487</v>
      </c>
      <c r="C51" s="5" t="s">
        <v>488</v>
      </c>
      <c r="D51" s="5" t="s">
        <v>386</v>
      </c>
      <c r="E51" s="16" t="n">
        <v>25.07</v>
      </c>
    </row>
    <row r="52" customFormat="false" ht="15" hidden="false" customHeight="false" outlineLevel="0" collapsed="false">
      <c r="A52" s="5" t="s">
        <v>484</v>
      </c>
      <c r="B52" s="5" t="s">
        <v>487</v>
      </c>
      <c r="C52" s="5" t="s">
        <v>489</v>
      </c>
      <c r="D52" s="5" t="s">
        <v>386</v>
      </c>
      <c r="E52" s="16" t="n">
        <v>23.04</v>
      </c>
    </row>
    <row r="53" customFormat="false" ht="15" hidden="false" customHeight="false" outlineLevel="0" collapsed="false">
      <c r="A53" s="5" t="s">
        <v>484</v>
      </c>
      <c r="B53" s="5" t="s">
        <v>485</v>
      </c>
      <c r="C53" s="5" t="s">
        <v>490</v>
      </c>
      <c r="D53" s="5" t="s">
        <v>389</v>
      </c>
      <c r="E53" s="16" t="n">
        <v>18.95</v>
      </c>
    </row>
    <row r="54" customFormat="false" ht="15" hidden="false" customHeight="false" outlineLevel="0" collapsed="false">
      <c r="A54" s="5" t="s">
        <v>484</v>
      </c>
      <c r="B54" s="5" t="s">
        <v>491</v>
      </c>
      <c r="C54" s="5" t="s">
        <v>492</v>
      </c>
      <c r="D54" s="5" t="s">
        <v>386</v>
      </c>
      <c r="E54" s="16" t="n">
        <v>17.73</v>
      </c>
    </row>
    <row r="55" customFormat="false" ht="15" hidden="false" customHeight="false" outlineLevel="0" collapsed="false">
      <c r="A55" s="5" t="s">
        <v>484</v>
      </c>
      <c r="B55" s="5" t="s">
        <v>493</v>
      </c>
      <c r="C55" s="5" t="s">
        <v>494</v>
      </c>
      <c r="D55" s="5" t="s">
        <v>386</v>
      </c>
      <c r="E55" s="16" t="n">
        <v>17.37</v>
      </c>
    </row>
    <row r="56" customFormat="false" ht="15" hidden="false" customHeight="false" outlineLevel="0" collapsed="false">
      <c r="A56" s="5" t="s">
        <v>484</v>
      </c>
      <c r="B56" s="5" t="s">
        <v>491</v>
      </c>
      <c r="C56" s="5" t="s">
        <v>461</v>
      </c>
      <c r="D56" s="5" t="s">
        <v>386</v>
      </c>
      <c r="E56" s="16" t="n">
        <v>15.09</v>
      </c>
    </row>
    <row r="57" customFormat="false" ht="15" hidden="false" customHeight="false" outlineLevel="0" collapsed="false">
      <c r="A57" s="5" t="s">
        <v>484</v>
      </c>
      <c r="B57" s="5" t="s">
        <v>493</v>
      </c>
      <c r="C57" s="5" t="s">
        <v>495</v>
      </c>
      <c r="D57" s="5" t="s">
        <v>386</v>
      </c>
      <c r="E57" s="16" t="n">
        <v>14.15</v>
      </c>
    </row>
    <row r="58" customFormat="false" ht="15" hidden="false" customHeight="false" outlineLevel="0" collapsed="false">
      <c r="A58" s="5" t="s">
        <v>496</v>
      </c>
      <c r="B58" s="5" t="s">
        <v>497</v>
      </c>
      <c r="C58" s="5" t="s">
        <v>498</v>
      </c>
      <c r="D58" s="5" t="s">
        <v>386</v>
      </c>
      <c r="E58" s="16" t="n">
        <v>34.68</v>
      </c>
    </row>
    <row r="59" customFormat="false" ht="15" hidden="false" customHeight="false" outlineLevel="0" collapsed="false">
      <c r="A59" s="5" t="s">
        <v>496</v>
      </c>
      <c r="B59" s="5" t="s">
        <v>499</v>
      </c>
      <c r="C59" s="5" t="s">
        <v>500</v>
      </c>
      <c r="D59" s="5" t="s">
        <v>389</v>
      </c>
      <c r="E59" s="16" t="n">
        <v>16.44</v>
      </c>
    </row>
    <row r="60" customFormat="false" ht="15" hidden="false" customHeight="false" outlineLevel="0" collapsed="false">
      <c r="A60" s="5" t="s">
        <v>496</v>
      </c>
      <c r="B60" s="5" t="s">
        <v>501</v>
      </c>
      <c r="C60" s="5" t="s">
        <v>502</v>
      </c>
      <c r="D60" s="5" t="s">
        <v>389</v>
      </c>
      <c r="E60" s="16" t="n">
        <v>16.26</v>
      </c>
    </row>
    <row r="61" customFormat="false" ht="15" hidden="false" customHeight="false" outlineLevel="0" collapsed="false">
      <c r="A61" s="5" t="s">
        <v>496</v>
      </c>
      <c r="B61" s="5" t="s">
        <v>503</v>
      </c>
      <c r="C61" s="5" t="s">
        <v>504</v>
      </c>
      <c r="D61" s="5" t="s">
        <v>389</v>
      </c>
      <c r="E61" s="16" t="n">
        <v>15.45</v>
      </c>
    </row>
    <row r="62" customFormat="false" ht="15" hidden="false" customHeight="false" outlineLevel="0" collapsed="false">
      <c r="A62" s="5" t="s">
        <v>496</v>
      </c>
      <c r="B62" s="5" t="s">
        <v>505</v>
      </c>
      <c r="C62" s="5" t="s">
        <v>506</v>
      </c>
      <c r="D62" s="5" t="s">
        <v>389</v>
      </c>
      <c r="E62" s="16" t="n">
        <v>14.63</v>
      </c>
    </row>
    <row r="63" customFormat="false" ht="15" hidden="false" customHeight="false" outlineLevel="0" collapsed="false">
      <c r="A63" s="5" t="s">
        <v>496</v>
      </c>
      <c r="B63" s="5" t="s">
        <v>507</v>
      </c>
      <c r="C63" s="5" t="s">
        <v>508</v>
      </c>
      <c r="D63" s="5" t="s">
        <v>389</v>
      </c>
      <c r="E63" s="16" t="n">
        <v>13.28</v>
      </c>
    </row>
    <row r="64" customFormat="false" ht="15" hidden="false" customHeight="false" outlineLevel="0" collapsed="false">
      <c r="A64" s="5" t="s">
        <v>496</v>
      </c>
      <c r="B64" s="5" t="s">
        <v>509</v>
      </c>
      <c r="C64" s="5" t="s">
        <v>510</v>
      </c>
      <c r="D64" s="5" t="s">
        <v>389</v>
      </c>
      <c r="E64" s="16" t="n">
        <v>11.8</v>
      </c>
    </row>
    <row r="65" customFormat="false" ht="15" hidden="false" customHeight="false" outlineLevel="0" collapsed="false">
      <c r="A65" s="5" t="s">
        <v>496</v>
      </c>
      <c r="B65" s="5" t="s">
        <v>511</v>
      </c>
      <c r="C65" s="5" t="s">
        <v>512</v>
      </c>
      <c r="D65" s="5" t="s">
        <v>389</v>
      </c>
      <c r="E65" s="16" t="n">
        <v>11.31</v>
      </c>
    </row>
    <row r="66" customFormat="false" ht="15" hidden="false" customHeight="false" outlineLevel="0" collapsed="false">
      <c r="A66" s="5" t="s">
        <v>513</v>
      </c>
      <c r="B66" s="5" t="s">
        <v>514</v>
      </c>
      <c r="C66" s="5" t="s">
        <v>515</v>
      </c>
      <c r="D66" s="5" t="s">
        <v>386</v>
      </c>
      <c r="E66" s="16" t="n">
        <v>35.34</v>
      </c>
    </row>
    <row r="67" customFormat="false" ht="15" hidden="false" customHeight="false" outlineLevel="0" collapsed="false">
      <c r="A67" s="5" t="s">
        <v>513</v>
      </c>
      <c r="B67" s="5" t="s">
        <v>516</v>
      </c>
      <c r="C67" s="5" t="s">
        <v>467</v>
      </c>
      <c r="D67" s="5" t="s">
        <v>386</v>
      </c>
      <c r="E67" s="16" t="n">
        <v>35.05</v>
      </c>
    </row>
    <row r="68" customFormat="false" ht="15" hidden="false" customHeight="false" outlineLevel="0" collapsed="false">
      <c r="A68" s="5" t="s">
        <v>513</v>
      </c>
      <c r="B68" s="5" t="s">
        <v>517</v>
      </c>
      <c r="C68" s="5" t="s">
        <v>518</v>
      </c>
      <c r="D68" s="5" t="s">
        <v>386</v>
      </c>
      <c r="E68" s="16" t="n">
        <v>28.52</v>
      </c>
    </row>
    <row r="69" customFormat="false" ht="15" hidden="false" customHeight="false" outlineLevel="0" collapsed="false">
      <c r="A69" s="5" t="s">
        <v>513</v>
      </c>
      <c r="B69" s="5" t="s">
        <v>519</v>
      </c>
      <c r="C69" s="5" t="s">
        <v>426</v>
      </c>
      <c r="D69" s="5" t="s">
        <v>386</v>
      </c>
      <c r="E69" s="16" t="n">
        <v>18.49</v>
      </c>
    </row>
    <row r="70" customFormat="false" ht="15" hidden="false" customHeight="false" outlineLevel="0" collapsed="false">
      <c r="A70" s="5" t="s">
        <v>513</v>
      </c>
      <c r="B70" s="5" t="s">
        <v>520</v>
      </c>
      <c r="C70" s="5" t="s">
        <v>397</v>
      </c>
      <c r="D70" s="5" t="s">
        <v>389</v>
      </c>
      <c r="E70" s="16" t="n">
        <v>13.57</v>
      </c>
    </row>
    <row r="71" customFormat="false" ht="15" hidden="false" customHeight="false" outlineLevel="0" collapsed="false">
      <c r="A71" s="5" t="s">
        <v>513</v>
      </c>
      <c r="B71" s="5" t="s">
        <v>521</v>
      </c>
      <c r="C71" s="5" t="s">
        <v>408</v>
      </c>
      <c r="D71" s="5" t="s">
        <v>386</v>
      </c>
      <c r="E71" s="16" t="n">
        <v>9.08</v>
      </c>
    </row>
    <row r="72" customFormat="false" ht="15" hidden="false" customHeight="false" outlineLevel="0" collapsed="false">
      <c r="A72" s="5" t="s">
        <v>513</v>
      </c>
      <c r="B72" s="5" t="s">
        <v>522</v>
      </c>
      <c r="C72" s="5" t="s">
        <v>523</v>
      </c>
      <c r="D72" s="5" t="s">
        <v>389</v>
      </c>
      <c r="E72" s="16" t="n">
        <v>7.93</v>
      </c>
    </row>
    <row r="73" customFormat="false" ht="15" hidden="false" customHeight="false" outlineLevel="0" collapsed="false">
      <c r="A73" s="5" t="s">
        <v>513</v>
      </c>
      <c r="B73" s="5" t="s">
        <v>524</v>
      </c>
      <c r="C73" s="5" t="s">
        <v>525</v>
      </c>
      <c r="D73" s="5" t="s">
        <v>386</v>
      </c>
      <c r="E73" s="16" t="n">
        <v>6.5</v>
      </c>
    </row>
    <row r="74" customFormat="false" ht="15" hidden="false" customHeight="false" outlineLevel="0" collapsed="false">
      <c r="A74" s="5" t="s">
        <v>526</v>
      </c>
      <c r="B74" s="5" t="s">
        <v>527</v>
      </c>
      <c r="C74" s="5" t="s">
        <v>528</v>
      </c>
      <c r="D74" s="5" t="s">
        <v>386</v>
      </c>
      <c r="E74" s="16" t="n">
        <v>36.72</v>
      </c>
    </row>
    <row r="75" customFormat="false" ht="15" hidden="false" customHeight="false" outlineLevel="0" collapsed="false">
      <c r="A75" s="5" t="s">
        <v>526</v>
      </c>
      <c r="B75" s="5" t="s">
        <v>529</v>
      </c>
      <c r="C75" s="5" t="s">
        <v>530</v>
      </c>
      <c r="D75" s="5" t="s">
        <v>386</v>
      </c>
      <c r="E75" s="16" t="n">
        <v>32.78</v>
      </c>
    </row>
    <row r="76" customFormat="false" ht="15" hidden="false" customHeight="false" outlineLevel="0" collapsed="false">
      <c r="A76" s="5" t="s">
        <v>526</v>
      </c>
      <c r="B76" s="5" t="s">
        <v>531</v>
      </c>
      <c r="C76" s="5" t="s">
        <v>532</v>
      </c>
      <c r="D76" s="5" t="s">
        <v>389</v>
      </c>
      <c r="E76" s="16" t="n">
        <v>22.14</v>
      </c>
    </row>
    <row r="77" customFormat="false" ht="15" hidden="false" customHeight="false" outlineLevel="0" collapsed="false">
      <c r="A77" s="5" t="s">
        <v>526</v>
      </c>
      <c r="B77" s="5" t="s">
        <v>533</v>
      </c>
      <c r="C77" s="5" t="s">
        <v>465</v>
      </c>
      <c r="D77" s="5" t="s">
        <v>386</v>
      </c>
      <c r="E77" s="16" t="n">
        <v>19.17</v>
      </c>
    </row>
    <row r="78" customFormat="false" ht="15" hidden="false" customHeight="false" outlineLevel="0" collapsed="false">
      <c r="A78" s="5" t="s">
        <v>526</v>
      </c>
      <c r="B78" s="5" t="s">
        <v>534</v>
      </c>
      <c r="C78" s="5" t="s">
        <v>535</v>
      </c>
      <c r="D78" s="5" t="s">
        <v>386</v>
      </c>
      <c r="E78" s="16" t="n">
        <v>19.11</v>
      </c>
    </row>
    <row r="79" customFormat="false" ht="15" hidden="false" customHeight="false" outlineLevel="0" collapsed="false">
      <c r="A79" s="5" t="s">
        <v>526</v>
      </c>
      <c r="B79" s="5" t="s">
        <v>536</v>
      </c>
      <c r="C79" s="5" t="s">
        <v>489</v>
      </c>
      <c r="D79" s="5" t="s">
        <v>386</v>
      </c>
      <c r="E79" s="16" t="n">
        <v>18.58</v>
      </c>
    </row>
    <row r="80" customFormat="false" ht="15" hidden="false" customHeight="false" outlineLevel="0" collapsed="false">
      <c r="A80" s="5" t="s">
        <v>526</v>
      </c>
      <c r="B80" s="5" t="s">
        <v>537</v>
      </c>
      <c r="C80" s="5" t="s">
        <v>538</v>
      </c>
      <c r="D80" s="5" t="s">
        <v>386</v>
      </c>
      <c r="E80" s="16" t="n">
        <v>12.64</v>
      </c>
    </row>
    <row r="81" customFormat="false" ht="15" hidden="false" customHeight="false" outlineLevel="0" collapsed="false">
      <c r="A81" s="5" t="s">
        <v>526</v>
      </c>
      <c r="B81" s="5" t="s">
        <v>539</v>
      </c>
      <c r="C81" s="5" t="s">
        <v>388</v>
      </c>
      <c r="D81" s="5" t="s">
        <v>386</v>
      </c>
      <c r="E81" s="16" t="n">
        <v>12.52</v>
      </c>
    </row>
    <row r="82" customFormat="false" ht="15" hidden="false" customHeight="false" outlineLevel="0" collapsed="false">
      <c r="A82" s="5" t="s">
        <v>540</v>
      </c>
      <c r="B82" s="5" t="s">
        <v>541</v>
      </c>
      <c r="C82" s="5" t="s">
        <v>542</v>
      </c>
      <c r="D82" s="5" t="s">
        <v>386</v>
      </c>
      <c r="E82" s="16" t="n">
        <v>84.02</v>
      </c>
    </row>
    <row r="83" customFormat="false" ht="15" hidden="false" customHeight="false" outlineLevel="0" collapsed="false">
      <c r="A83" s="5" t="s">
        <v>540</v>
      </c>
      <c r="B83" s="5" t="s">
        <v>543</v>
      </c>
      <c r="C83" s="5" t="s">
        <v>544</v>
      </c>
      <c r="D83" s="5" t="s">
        <v>386</v>
      </c>
      <c r="E83" s="16" t="n">
        <v>14.49</v>
      </c>
    </row>
    <row r="84" customFormat="false" ht="15" hidden="false" customHeight="false" outlineLevel="0" collapsed="false">
      <c r="A84" s="5" t="s">
        <v>540</v>
      </c>
      <c r="B84" s="5" t="s">
        <v>545</v>
      </c>
      <c r="C84" s="5" t="s">
        <v>546</v>
      </c>
      <c r="D84" s="5" t="s">
        <v>389</v>
      </c>
      <c r="E84" s="16" t="n">
        <v>7.19</v>
      </c>
    </row>
    <row r="85" customFormat="false" ht="15" hidden="false" customHeight="false" outlineLevel="0" collapsed="false">
      <c r="A85" s="5" t="s">
        <v>540</v>
      </c>
      <c r="B85" s="5" t="s">
        <v>547</v>
      </c>
      <c r="C85" s="5" t="s">
        <v>548</v>
      </c>
      <c r="D85" s="5" t="s">
        <v>386</v>
      </c>
      <c r="E85" s="16" t="n">
        <v>6.91</v>
      </c>
    </row>
    <row r="86" customFormat="false" ht="15" hidden="false" customHeight="false" outlineLevel="0" collapsed="false">
      <c r="A86" s="5" t="s">
        <v>540</v>
      </c>
      <c r="B86" s="5" t="s">
        <v>549</v>
      </c>
      <c r="C86" s="5" t="s">
        <v>426</v>
      </c>
      <c r="D86" s="5" t="s">
        <v>386</v>
      </c>
      <c r="E86" s="16" t="n">
        <v>6.83</v>
      </c>
    </row>
    <row r="87" customFormat="false" ht="15" hidden="false" customHeight="false" outlineLevel="0" collapsed="false">
      <c r="A87" s="5" t="s">
        <v>540</v>
      </c>
      <c r="B87" s="5" t="s">
        <v>550</v>
      </c>
      <c r="C87" s="5" t="s">
        <v>551</v>
      </c>
      <c r="D87" s="5" t="s">
        <v>386</v>
      </c>
      <c r="E87" s="16" t="n">
        <v>6.82</v>
      </c>
    </row>
    <row r="88" customFormat="false" ht="15" hidden="false" customHeight="false" outlineLevel="0" collapsed="false">
      <c r="A88" s="5" t="s">
        <v>540</v>
      </c>
      <c r="B88" s="5" t="s">
        <v>552</v>
      </c>
      <c r="C88" s="5" t="s">
        <v>553</v>
      </c>
      <c r="D88" s="5" t="s">
        <v>389</v>
      </c>
      <c r="E88" s="16" t="n">
        <v>6.45</v>
      </c>
    </row>
    <row r="89" customFormat="false" ht="15" hidden="false" customHeight="false" outlineLevel="0" collapsed="false">
      <c r="A89" s="5" t="s">
        <v>540</v>
      </c>
      <c r="B89" s="5" t="s">
        <v>554</v>
      </c>
      <c r="C89" s="5" t="s">
        <v>555</v>
      </c>
      <c r="D89" s="5" t="s">
        <v>386</v>
      </c>
      <c r="E89" s="16" t="n">
        <v>5.22</v>
      </c>
    </row>
    <row r="90" customFormat="false" ht="15" hidden="false" customHeight="false" outlineLevel="0" collapsed="false">
      <c r="A90" s="5" t="s">
        <v>556</v>
      </c>
      <c r="B90" s="5" t="s">
        <v>557</v>
      </c>
      <c r="C90" s="5" t="s">
        <v>558</v>
      </c>
      <c r="D90" s="5" t="s">
        <v>386</v>
      </c>
      <c r="E90" s="16" t="n">
        <v>43.85</v>
      </c>
    </row>
    <row r="91" customFormat="false" ht="15" hidden="false" customHeight="false" outlineLevel="0" collapsed="false">
      <c r="A91" s="5" t="s">
        <v>556</v>
      </c>
      <c r="B91" s="5" t="s">
        <v>559</v>
      </c>
      <c r="C91" s="5" t="s">
        <v>426</v>
      </c>
      <c r="D91" s="5" t="s">
        <v>386</v>
      </c>
      <c r="E91" s="16" t="n">
        <v>39.04</v>
      </c>
    </row>
    <row r="92" customFormat="false" ht="15" hidden="false" customHeight="false" outlineLevel="0" collapsed="false">
      <c r="A92" s="5" t="s">
        <v>556</v>
      </c>
      <c r="B92" s="5" t="s">
        <v>560</v>
      </c>
      <c r="C92" s="5" t="s">
        <v>561</v>
      </c>
      <c r="D92" s="5" t="s">
        <v>386</v>
      </c>
      <c r="E92" s="16" t="n">
        <v>25.37</v>
      </c>
    </row>
    <row r="93" customFormat="false" ht="15" hidden="false" customHeight="false" outlineLevel="0" collapsed="false">
      <c r="A93" s="5" t="s">
        <v>556</v>
      </c>
      <c r="B93" s="5" t="s">
        <v>562</v>
      </c>
      <c r="C93" s="5" t="s">
        <v>563</v>
      </c>
      <c r="D93" s="5" t="s">
        <v>389</v>
      </c>
      <c r="E93" s="16" t="n">
        <v>19.63</v>
      </c>
    </row>
    <row r="94" customFormat="false" ht="15" hidden="false" customHeight="false" outlineLevel="0" collapsed="false">
      <c r="A94" s="5" t="s">
        <v>556</v>
      </c>
      <c r="B94" s="5" t="s">
        <v>564</v>
      </c>
      <c r="C94" s="5" t="s">
        <v>565</v>
      </c>
      <c r="D94" s="5" t="s">
        <v>386</v>
      </c>
      <c r="E94" s="16" t="n">
        <v>12.05</v>
      </c>
    </row>
    <row r="95" customFormat="false" ht="15" hidden="false" customHeight="false" outlineLevel="0" collapsed="false">
      <c r="A95" s="5" t="s">
        <v>556</v>
      </c>
      <c r="B95" s="5" t="s">
        <v>566</v>
      </c>
      <c r="C95" s="5" t="s">
        <v>567</v>
      </c>
      <c r="D95" s="5" t="s">
        <v>386</v>
      </c>
      <c r="E95" s="16" t="n">
        <v>11.71</v>
      </c>
    </row>
    <row r="96" customFormat="false" ht="15" hidden="false" customHeight="false" outlineLevel="0" collapsed="false">
      <c r="A96" s="5" t="s">
        <v>556</v>
      </c>
      <c r="B96" s="5" t="s">
        <v>568</v>
      </c>
      <c r="C96" s="5" t="s">
        <v>481</v>
      </c>
      <c r="D96" s="5" t="s">
        <v>389</v>
      </c>
      <c r="E96" s="16" t="n">
        <v>7.27</v>
      </c>
    </row>
    <row r="97" customFormat="false" ht="15" hidden="false" customHeight="false" outlineLevel="0" collapsed="false">
      <c r="A97" s="5" t="s">
        <v>556</v>
      </c>
      <c r="B97" s="5" t="s">
        <v>569</v>
      </c>
      <c r="C97" s="5" t="s">
        <v>570</v>
      </c>
      <c r="D97" s="5" t="s">
        <v>386</v>
      </c>
      <c r="E97" s="16" t="n">
        <v>6.47</v>
      </c>
    </row>
    <row r="98" customFormat="false" ht="15" hidden="false" customHeight="false" outlineLevel="0" collapsed="false">
      <c r="A98" s="5" t="s">
        <v>571</v>
      </c>
      <c r="B98" s="5" t="s">
        <v>572</v>
      </c>
      <c r="C98" s="5" t="s">
        <v>573</v>
      </c>
      <c r="D98" s="5" t="s">
        <v>386</v>
      </c>
      <c r="E98" s="16" t="n">
        <v>20.56</v>
      </c>
    </row>
    <row r="99" customFormat="false" ht="15" hidden="false" customHeight="false" outlineLevel="0" collapsed="false">
      <c r="A99" s="5" t="s">
        <v>571</v>
      </c>
      <c r="B99" s="5" t="s">
        <v>574</v>
      </c>
      <c r="C99" s="5" t="s">
        <v>575</v>
      </c>
      <c r="D99" s="5" t="s">
        <v>389</v>
      </c>
      <c r="E99" s="16" t="n">
        <v>17.2</v>
      </c>
    </row>
    <row r="100" customFormat="false" ht="15" hidden="false" customHeight="false" outlineLevel="0" collapsed="false">
      <c r="A100" s="5" t="s">
        <v>571</v>
      </c>
      <c r="B100" s="5" t="s">
        <v>576</v>
      </c>
      <c r="C100" s="5" t="s">
        <v>388</v>
      </c>
      <c r="D100" s="5" t="s">
        <v>389</v>
      </c>
      <c r="E100" s="16" t="n">
        <v>16.63</v>
      </c>
    </row>
    <row r="101" customFormat="false" ht="15" hidden="false" customHeight="false" outlineLevel="0" collapsed="false">
      <c r="A101" s="5" t="s">
        <v>571</v>
      </c>
      <c r="B101" s="5" t="s">
        <v>577</v>
      </c>
      <c r="C101" s="5" t="s">
        <v>506</v>
      </c>
      <c r="D101" s="5" t="s">
        <v>389</v>
      </c>
      <c r="E101" s="16" t="n">
        <v>10.7</v>
      </c>
    </row>
    <row r="102" customFormat="false" ht="15" hidden="false" customHeight="false" outlineLevel="0" collapsed="false">
      <c r="A102" s="5" t="s">
        <v>571</v>
      </c>
      <c r="B102" s="5" t="s">
        <v>578</v>
      </c>
      <c r="C102" s="5" t="s">
        <v>512</v>
      </c>
      <c r="D102" s="5" t="s">
        <v>389</v>
      </c>
      <c r="E102" s="16" t="n">
        <v>10.38</v>
      </c>
    </row>
    <row r="103" customFormat="false" ht="15" hidden="false" customHeight="false" outlineLevel="0" collapsed="false">
      <c r="A103" s="5" t="s">
        <v>571</v>
      </c>
      <c r="B103" s="5" t="s">
        <v>579</v>
      </c>
      <c r="C103" s="5" t="s">
        <v>580</v>
      </c>
      <c r="D103" s="5" t="s">
        <v>389</v>
      </c>
      <c r="E103" s="16" t="n">
        <v>10.33</v>
      </c>
    </row>
    <row r="104" customFormat="false" ht="15" hidden="false" customHeight="false" outlineLevel="0" collapsed="false">
      <c r="A104" s="5" t="s">
        <v>571</v>
      </c>
      <c r="B104" s="5" t="s">
        <v>581</v>
      </c>
      <c r="C104" s="5" t="s">
        <v>582</v>
      </c>
      <c r="D104" s="5" t="s">
        <v>386</v>
      </c>
      <c r="E104" s="16" t="n">
        <v>5.71</v>
      </c>
    </row>
    <row r="105" customFormat="false" ht="15" hidden="false" customHeight="false" outlineLevel="0" collapsed="false">
      <c r="A105" s="5" t="s">
        <v>571</v>
      </c>
      <c r="B105" s="5" t="s">
        <v>583</v>
      </c>
      <c r="C105" s="5" t="s">
        <v>504</v>
      </c>
      <c r="D105" s="5" t="s">
        <v>389</v>
      </c>
      <c r="E105" s="16" t="n">
        <v>5.35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  <col collapsed="false" customWidth="true" hidden="false" outlineLevel="0" max="2" min="2" style="1" width="90"/>
  </cols>
  <sheetData>
    <row r="1" customFormat="false" ht="15" hidden="false" customHeight="false" outlineLevel="0" collapsed="false">
      <c r="A1" s="8" t="s">
        <v>584</v>
      </c>
      <c r="B1" s="8" t="s">
        <v>585</v>
      </c>
    </row>
    <row r="2" customFormat="false" ht="15" hidden="false" customHeight="false" outlineLevel="0" collapsed="false">
      <c r="A2" s="5" t="s">
        <v>586</v>
      </c>
      <c r="B2" s="5" t="s">
        <v>587</v>
      </c>
    </row>
    <row r="3" customFormat="false" ht="15" hidden="false" customHeight="false" outlineLevel="0" collapsed="false">
      <c r="A3" s="5" t="s">
        <v>588</v>
      </c>
      <c r="B3" s="5" t="s">
        <v>589</v>
      </c>
    </row>
    <row r="4" customFormat="false" ht="15" hidden="false" customHeight="false" outlineLevel="0" collapsed="false">
      <c r="A4" s="5" t="s">
        <v>590</v>
      </c>
      <c r="B4" s="5" t="s">
        <v>591</v>
      </c>
    </row>
    <row r="5" customFormat="false" ht="15" hidden="false" customHeight="false" outlineLevel="0" collapsed="false">
      <c r="A5" s="5" t="s">
        <v>592</v>
      </c>
      <c r="B5" s="5" t="s">
        <v>593</v>
      </c>
    </row>
    <row r="6" customFormat="false" ht="15" hidden="false" customHeight="false" outlineLevel="0" collapsed="false">
      <c r="A6" s="5" t="s">
        <v>594</v>
      </c>
      <c r="B6" s="5" t="s">
        <v>595</v>
      </c>
    </row>
    <row r="7" customFormat="false" ht="15" hidden="false" customHeight="false" outlineLevel="0" collapsed="false">
      <c r="A7" s="5" t="s">
        <v>596</v>
      </c>
      <c r="B7" s="5" t="s">
        <v>597</v>
      </c>
    </row>
    <row r="8" customFormat="false" ht="15" hidden="false" customHeight="false" outlineLevel="0" collapsed="false">
      <c r="A8" s="5" t="s">
        <v>598</v>
      </c>
      <c r="B8" s="5" t="s">
        <v>599</v>
      </c>
    </row>
    <row r="9" customFormat="false" ht="15" hidden="false" customHeight="false" outlineLevel="0" collapsed="false">
      <c r="A9" s="5" t="s">
        <v>600</v>
      </c>
      <c r="B9" s="5" t="s">
        <v>601</v>
      </c>
    </row>
    <row r="10" customFormat="false" ht="15" hidden="false" customHeight="false" outlineLevel="0" collapsed="false">
      <c r="A10" s="5" t="s">
        <v>602</v>
      </c>
      <c r="B10" s="5" t="s">
        <v>603</v>
      </c>
    </row>
    <row r="11" customFormat="false" ht="15" hidden="false" customHeight="false" outlineLevel="0" collapsed="false">
      <c r="A11" s="5" t="s">
        <v>604</v>
      </c>
      <c r="B11" s="5" t="s">
        <v>605</v>
      </c>
    </row>
    <row r="12" customFormat="false" ht="15" hidden="false" customHeight="false" outlineLevel="0" collapsed="false">
      <c r="A12" s="5" t="s">
        <v>606</v>
      </c>
      <c r="B12" s="5" t="s">
        <v>607</v>
      </c>
    </row>
    <row r="13" customFormat="false" ht="15" hidden="false" customHeight="false" outlineLevel="0" collapsed="false">
      <c r="A13" s="5" t="s">
        <v>608</v>
      </c>
      <c r="B13" s="5" t="s">
        <v>609</v>
      </c>
    </row>
    <row r="14" customFormat="false" ht="15" hidden="false" customHeight="false" outlineLevel="0" collapsed="false">
      <c r="A14" s="5" t="s">
        <v>610</v>
      </c>
      <c r="B14" s="5" t="s">
        <v>611</v>
      </c>
    </row>
    <row r="15" customFormat="false" ht="15" hidden="false" customHeight="false" outlineLevel="0" collapsed="false">
      <c r="A15" s="5" t="s">
        <v>612</v>
      </c>
      <c r="B15" s="5" t="s">
        <v>613</v>
      </c>
    </row>
    <row r="16" customFormat="false" ht="15" hidden="false" customHeight="false" outlineLevel="0" collapsed="false">
      <c r="A16" s="5" t="s">
        <v>614</v>
      </c>
      <c r="B16" s="5" t="s">
        <v>615</v>
      </c>
    </row>
    <row r="17" customFormat="false" ht="15" hidden="false" customHeight="false" outlineLevel="0" collapsed="false">
      <c r="A17" s="5" t="s">
        <v>616</v>
      </c>
      <c r="B17" s="5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14"/>
  </cols>
  <sheetData>
    <row r="1" customFormat="false" ht="15" hidden="false" customHeight="false" outlineLevel="0" collapsed="false">
      <c r="A1" s="4" t="s">
        <v>618</v>
      </c>
      <c r="B1" s="5"/>
    </row>
    <row r="2" customFormat="false" ht="15" hidden="false" customHeight="false" outlineLevel="0" collapsed="false">
      <c r="A2" s="5"/>
      <c r="B2" s="5"/>
    </row>
    <row r="3" customFormat="false" ht="15" hidden="false" customHeight="false" outlineLevel="0" collapsed="false">
      <c r="A3" s="5" t="s">
        <v>619</v>
      </c>
      <c r="B3" s="15" t="n">
        <v>420</v>
      </c>
    </row>
    <row r="4" customFormat="false" ht="15" hidden="false" customHeight="false" outlineLevel="0" collapsed="false">
      <c r="A4" s="5" t="s">
        <v>620</v>
      </c>
      <c r="B4" s="15" t="n">
        <v>24</v>
      </c>
    </row>
    <row r="5" customFormat="false" ht="15" hidden="false" customHeight="false" outlineLevel="0" collapsed="false">
      <c r="A5" s="5" t="s">
        <v>621</v>
      </c>
      <c r="B5" s="15" t="n">
        <v>6</v>
      </c>
    </row>
    <row r="6" customFormat="false" ht="15" hidden="false" customHeight="false" outlineLevel="0" collapsed="false">
      <c r="A6" s="5" t="s">
        <v>622</v>
      </c>
      <c r="B6" s="15" t="n">
        <v>110.5</v>
      </c>
    </row>
    <row r="7" customFormat="false" ht="15" hidden="false" customHeight="false" outlineLevel="0" collapsed="false">
      <c r="A7" s="5" t="s">
        <v>623</v>
      </c>
      <c r="B7" s="15" t="n">
        <v>96.6</v>
      </c>
    </row>
    <row r="8" customFormat="false" ht="15" hidden="false" customHeight="false" outlineLevel="0" collapsed="false">
      <c r="A8" s="5" t="s">
        <v>624</v>
      </c>
      <c r="B8" s="15" t="n">
        <v>15</v>
      </c>
    </row>
    <row r="9" customFormat="false" ht="15" hidden="false" customHeight="false" outlineLevel="0" collapsed="false">
      <c r="A9" s="5" t="s">
        <v>625</v>
      </c>
      <c r="B9" s="15" t="n">
        <v>3</v>
      </c>
    </row>
    <row r="10" customFormat="false" ht="15" hidden="false" customHeight="false" outlineLevel="0" collapsed="false">
      <c r="A10" s="5" t="s">
        <v>626</v>
      </c>
      <c r="B10" s="13" t="n">
        <v>0.6</v>
      </c>
    </row>
    <row r="11" customFormat="false" ht="15" hidden="false" customHeight="false" outlineLevel="0" collapsed="false">
      <c r="A11" s="5" t="s">
        <v>627</v>
      </c>
      <c r="B11" s="13" t="n">
        <v>0.3</v>
      </c>
    </row>
    <row r="12" customFormat="false" ht="15" hidden="false" customHeight="false" outlineLevel="0" collapsed="false">
      <c r="A12" s="5" t="s">
        <v>628</v>
      </c>
      <c r="B12" s="15" t="n">
        <v>8</v>
      </c>
    </row>
    <row r="13" customFormat="false" ht="15" hidden="false" customHeight="false" outlineLevel="0" collapsed="false">
      <c r="A13" s="5" t="s">
        <v>629</v>
      </c>
      <c r="B13" s="13" t="n">
        <v>0.13</v>
      </c>
    </row>
    <row r="14" customFormat="false" ht="15" hidden="false" customHeight="false" outlineLevel="0" collapsed="false">
      <c r="A14" s="5" t="s">
        <v>630</v>
      </c>
      <c r="B14" s="15" t="n">
        <v>0.75</v>
      </c>
    </row>
    <row r="15" customFormat="false" ht="15" hidden="false" customHeight="false" outlineLevel="0" collapsed="false">
      <c r="A15" s="5" t="s">
        <v>631</v>
      </c>
      <c r="B15" s="15" t="n">
        <v>4</v>
      </c>
    </row>
    <row r="16" customFormat="false" ht="15" hidden="false" customHeight="false" outlineLevel="0" collapsed="false">
      <c r="A16" s="5" t="s">
        <v>632</v>
      </c>
      <c r="B16" s="15" t="n">
        <v>20</v>
      </c>
    </row>
    <row r="17" customFormat="false" ht="15" hidden="false" customHeight="false" outlineLevel="0" collapsed="false">
      <c r="A17" s="5"/>
      <c r="B17" s="5"/>
    </row>
    <row r="18" customFormat="false" ht="15" hidden="false" customHeight="false" outlineLevel="0" collapsed="false">
      <c r="A18" s="5"/>
      <c r="B18" s="5"/>
    </row>
    <row r="19" customFormat="false" ht="15" hidden="false" customHeight="false" outlineLevel="0" collapsed="false">
      <c r="A19" s="4" t="s">
        <v>304</v>
      </c>
      <c r="B19" s="5"/>
    </row>
    <row r="20" customFormat="false" ht="15" hidden="false" customHeight="false" outlineLevel="0" collapsed="false">
      <c r="A20" s="5" t="s">
        <v>633</v>
      </c>
      <c r="B20" s="17" t="n">
        <f aca="false">B3*B8/3600</f>
        <v>1.75</v>
      </c>
    </row>
    <row r="21" customFormat="false" ht="15" hidden="false" customHeight="false" outlineLevel="0" collapsed="false">
      <c r="A21" s="5" t="s">
        <v>634</v>
      </c>
      <c r="B21" s="17" t="n">
        <f aca="false">B4*B9/60</f>
        <v>1.2</v>
      </c>
    </row>
    <row r="22" customFormat="false" ht="15" hidden="false" customHeight="false" outlineLevel="0" collapsed="false">
      <c r="A22" s="5" t="s">
        <v>635</v>
      </c>
      <c r="B22" s="17" t="n">
        <f aca="false">B4*B10</f>
        <v>14.4</v>
      </c>
    </row>
    <row r="23" customFormat="false" ht="15" hidden="false" customHeight="false" outlineLevel="0" collapsed="false">
      <c r="A23" s="5" t="s">
        <v>636</v>
      </c>
      <c r="B23" s="17" t="n">
        <f aca="false">B22*B12/60</f>
        <v>1.92</v>
      </c>
    </row>
    <row r="24" customFormat="false" ht="15" hidden="false" customHeight="false" outlineLevel="0" collapsed="false">
      <c r="A24" s="5" t="s">
        <v>637</v>
      </c>
      <c r="B24" s="19" t="n">
        <f aca="false">B6*B10</f>
        <v>66.3</v>
      </c>
    </row>
    <row r="25" customFormat="false" ht="15" hidden="false" customHeight="false" outlineLevel="0" collapsed="false">
      <c r="A25" s="5" t="s">
        <v>638</v>
      </c>
      <c r="B25" s="19" t="n">
        <f aca="false">B24*(1-B13)-B22*B14</f>
        <v>46.881</v>
      </c>
    </row>
    <row r="26" customFormat="false" ht="15" hidden="false" customHeight="false" outlineLevel="0" collapsed="false">
      <c r="A26" s="5" t="s">
        <v>639</v>
      </c>
      <c r="B26" s="17" t="n">
        <f aca="false">B4-B22</f>
        <v>9.6</v>
      </c>
    </row>
    <row r="27" customFormat="false" ht="15" hidden="false" customHeight="false" outlineLevel="0" collapsed="false">
      <c r="A27" s="5" t="s">
        <v>640</v>
      </c>
      <c r="B27" s="19" t="n">
        <f aca="false">B6*(1-B10)*(1-B11)</f>
        <v>30.94</v>
      </c>
    </row>
    <row r="28" customFormat="false" ht="15" hidden="false" customHeight="false" outlineLevel="0" collapsed="false">
      <c r="A28" s="5" t="s">
        <v>641</v>
      </c>
      <c r="B28" s="19" t="n">
        <f aca="false">(B3-B4)*B15/1000</f>
        <v>1.584</v>
      </c>
    </row>
    <row r="29" customFormat="false" ht="15" hidden="false" customHeight="false" outlineLevel="0" collapsed="false">
      <c r="A29" s="5" t="s">
        <v>642</v>
      </c>
      <c r="B29" s="17" t="n">
        <f aca="false">B20+B21+B23</f>
        <v>4.87</v>
      </c>
    </row>
    <row r="30" customFormat="false" ht="15" hidden="false" customHeight="false" outlineLevel="0" collapsed="false">
      <c r="A30" s="5" t="s">
        <v>643</v>
      </c>
      <c r="B30" s="19" t="n">
        <f aca="false">B25+B28</f>
        <v>48.465</v>
      </c>
    </row>
    <row r="31" customFormat="false" ht="15" hidden="false" customHeight="false" outlineLevel="0" collapsed="false">
      <c r="A31" s="5" t="s">
        <v>644</v>
      </c>
      <c r="B31" s="19" t="n">
        <f aca="false">B30/B29</f>
        <v>9.9517453798768</v>
      </c>
    </row>
    <row r="32" customFormat="false" ht="15" hidden="false" customHeight="false" outlineLevel="0" collapsed="false">
      <c r="A32" s="5" t="s">
        <v>645</v>
      </c>
      <c r="B32" s="19" t="n">
        <f aca="false">B29*B16</f>
        <v>97.4</v>
      </c>
    </row>
    <row r="33" customFormat="false" ht="15" hidden="false" customHeight="false" outlineLevel="0" collapsed="false">
      <c r="A33" s="5" t="s">
        <v>646</v>
      </c>
      <c r="B33" s="20" t="n">
        <f aca="false">'Set Summary'!I104</f>
        <v>150.96</v>
      </c>
    </row>
    <row r="34" customFormat="false" ht="15" hidden="false" customHeight="false" outlineLevel="0" collapsed="false">
      <c r="A34" s="5" t="s">
        <v>647</v>
      </c>
      <c r="B34" s="19" t="n">
        <f aca="false">B30+B27-B33-B32</f>
        <v>-168.955</v>
      </c>
    </row>
    <row r="35" customFormat="false" ht="15" hidden="false" customHeight="false" outlineLevel="0" collapsed="false">
      <c r="A35" s="5"/>
      <c r="B35" s="5"/>
    </row>
    <row r="36" customFormat="false" ht="15" hidden="false" customHeight="false" outlineLevel="0" collapsed="false">
      <c r="A36" s="21" t="s">
        <v>648</v>
      </c>
      <c r="B3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2026-10-06T02:17:50Z</dcterms:created>
  <dc:creator>openpyxl</dc:creator>
  <dc:description/>
  <dc:language>en-US</dc:language>
  <cp:lastModifiedBy/>
  <dcterms:modified xsi:type="dcterms:W3CDTF">2026-10-06T02:17:50Z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